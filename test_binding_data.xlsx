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TAR-TAT\binding_assay\app\"/>
    </mc:Choice>
  </mc:AlternateContent>
  <xr:revisionPtr revIDLastSave="0" documentId="13_ncr:1_{6D681982-95FB-4A89-901B-89F129AD197E}" xr6:coauthVersionLast="47" xr6:coauthVersionMax="47" xr10:uidLastSave="{00000000-0000-0000-0000-000000000000}"/>
  <bookViews>
    <workbookView xWindow="13930" yWindow="0" windowWidth="24160" windowHeight="20970" xr2:uid="{6BEBC5E3-5CD4-42DB-A6C8-8B9375074F3A}"/>
  </bookViews>
  <sheets>
    <sheet name="variant-1" sheetId="1" r:id="rId1"/>
    <sheet name="variant-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4" l="1"/>
  <c r="B18" i="4"/>
  <c r="C18" i="4"/>
  <c r="D18" i="4"/>
  <c r="E18" i="4"/>
  <c r="F18" i="4"/>
  <c r="G18" i="4"/>
  <c r="H18" i="4"/>
  <c r="I18" i="4"/>
  <c r="J18" i="4"/>
  <c r="K18" i="4"/>
  <c r="L18" i="4"/>
  <c r="A19" i="4"/>
  <c r="B19" i="4"/>
  <c r="C19" i="4"/>
  <c r="D19" i="4"/>
  <c r="E19" i="4"/>
  <c r="F19" i="4"/>
  <c r="G19" i="4"/>
  <c r="H19" i="4"/>
  <c r="I19" i="4"/>
  <c r="J19" i="4"/>
  <c r="K19" i="4"/>
  <c r="L19" i="4"/>
  <c r="A20" i="4"/>
  <c r="B20" i="4"/>
  <c r="C20" i="4"/>
  <c r="D20" i="4"/>
  <c r="E20" i="4"/>
  <c r="F20" i="4"/>
  <c r="G20" i="4"/>
  <c r="H20" i="4"/>
  <c r="I20" i="4"/>
  <c r="J20" i="4"/>
  <c r="K20" i="4"/>
  <c r="L20" i="4"/>
  <c r="A21" i="4"/>
  <c r="B21" i="4"/>
  <c r="C21" i="4"/>
  <c r="D21" i="4"/>
  <c r="E21" i="4"/>
  <c r="F21" i="4"/>
  <c r="G21" i="4"/>
  <c r="H21" i="4"/>
  <c r="I21" i="4"/>
  <c r="J21" i="4"/>
  <c r="K21" i="4"/>
  <c r="L21" i="4"/>
  <c r="A22" i="4"/>
  <c r="B22" i="4"/>
  <c r="C22" i="4"/>
  <c r="D22" i="4"/>
  <c r="E22" i="4"/>
  <c r="F22" i="4"/>
  <c r="G22" i="4"/>
  <c r="H22" i="4"/>
  <c r="I22" i="4"/>
  <c r="J22" i="4"/>
  <c r="K22" i="4"/>
  <c r="L22" i="4"/>
  <c r="A23" i="4"/>
  <c r="B23" i="4"/>
  <c r="C23" i="4"/>
  <c r="D23" i="4"/>
  <c r="E23" i="4"/>
  <c r="F23" i="4"/>
  <c r="G23" i="4"/>
  <c r="H23" i="4"/>
  <c r="I23" i="4"/>
  <c r="J23" i="4"/>
  <c r="K23" i="4"/>
  <c r="L23" i="4"/>
  <c r="A24" i="4"/>
  <c r="B24" i="4"/>
  <c r="C24" i="4"/>
  <c r="D24" i="4"/>
  <c r="E24" i="4"/>
  <c r="F24" i="4"/>
  <c r="G24" i="4"/>
  <c r="H24" i="4"/>
  <c r="I24" i="4"/>
  <c r="J24" i="4"/>
  <c r="K24" i="4"/>
  <c r="L24" i="4"/>
  <c r="A25" i="4"/>
  <c r="B25" i="4"/>
  <c r="C25" i="4"/>
  <c r="D25" i="4"/>
  <c r="E25" i="4"/>
  <c r="F25" i="4"/>
  <c r="G25" i="4"/>
  <c r="H25" i="4"/>
  <c r="I25" i="4"/>
  <c r="J25" i="4"/>
  <c r="K25" i="4"/>
  <c r="L25" i="4"/>
  <c r="A26" i="4"/>
  <c r="B26" i="4"/>
  <c r="C26" i="4"/>
  <c r="D26" i="4"/>
  <c r="E26" i="4"/>
  <c r="F26" i="4"/>
  <c r="G26" i="4"/>
  <c r="H26" i="4"/>
  <c r="I26" i="4"/>
  <c r="J26" i="4"/>
  <c r="K26" i="4"/>
  <c r="L26" i="4"/>
  <c r="A27" i="4"/>
  <c r="B27" i="4"/>
  <c r="C27" i="4"/>
  <c r="D27" i="4"/>
  <c r="E27" i="4"/>
  <c r="F27" i="4"/>
  <c r="G27" i="4"/>
  <c r="H27" i="4"/>
  <c r="I27" i="4"/>
  <c r="J27" i="4"/>
  <c r="K27" i="4"/>
  <c r="L27" i="4"/>
  <c r="A28" i="4"/>
  <c r="B28" i="4"/>
  <c r="C28" i="4"/>
  <c r="D28" i="4"/>
  <c r="E28" i="4"/>
  <c r="F28" i="4"/>
  <c r="G28" i="4"/>
  <c r="H28" i="4"/>
  <c r="I28" i="4"/>
  <c r="J28" i="4"/>
  <c r="K28" i="4"/>
  <c r="L28" i="4"/>
  <c r="A29" i="4"/>
  <c r="B29" i="4"/>
  <c r="C29" i="4"/>
  <c r="D29" i="4"/>
  <c r="E29" i="4"/>
  <c r="F29" i="4"/>
  <c r="G29" i="4"/>
  <c r="H29" i="4"/>
  <c r="I29" i="4"/>
  <c r="J29" i="4"/>
  <c r="K29" i="4"/>
  <c r="L29" i="4"/>
  <c r="A30" i="4"/>
  <c r="B30" i="4"/>
  <c r="C30" i="4"/>
  <c r="D30" i="4"/>
  <c r="E30" i="4"/>
  <c r="F30" i="4"/>
  <c r="G30" i="4"/>
  <c r="H30" i="4"/>
  <c r="I30" i="4"/>
  <c r="J30" i="4"/>
  <c r="K30" i="4"/>
  <c r="L30" i="4"/>
  <c r="A31" i="4"/>
  <c r="B31" i="4"/>
  <c r="C31" i="4"/>
  <c r="D31" i="4"/>
  <c r="E31" i="4"/>
  <c r="F31" i="4"/>
  <c r="G31" i="4"/>
  <c r="H31" i="4"/>
  <c r="I31" i="4"/>
  <c r="J31" i="4"/>
  <c r="K31" i="4"/>
  <c r="L31" i="4"/>
  <c r="B17" i="4"/>
  <c r="C17" i="4"/>
  <c r="D17" i="4"/>
  <c r="E17" i="4"/>
  <c r="F17" i="4"/>
  <c r="G17" i="4"/>
  <c r="H17" i="4"/>
  <c r="I17" i="4"/>
  <c r="J17" i="4"/>
  <c r="K17" i="4"/>
  <c r="L17" i="4"/>
  <c r="A17" i="4"/>
  <c r="M64" i="4" l="1"/>
  <c r="A64" i="4" s="1"/>
  <c r="B64" i="4" s="1"/>
  <c r="C64" i="4" s="1"/>
  <c r="D64" i="4" s="1"/>
  <c r="E64" i="4" s="1"/>
  <c r="F64" i="4" s="1"/>
  <c r="G64" i="4" s="1"/>
  <c r="H64" i="4" s="1"/>
  <c r="I64" i="4" s="1"/>
  <c r="J64" i="4" s="1"/>
  <c r="K64" i="4" s="1"/>
  <c r="L64" i="4" s="1"/>
  <c r="M63" i="4"/>
  <c r="A63" i="4" s="1"/>
  <c r="B63" i="4" s="1"/>
  <c r="C63" i="4" s="1"/>
  <c r="D63" i="4" s="1"/>
  <c r="E63" i="4" s="1"/>
  <c r="F63" i="4" s="1"/>
  <c r="G63" i="4" s="1"/>
  <c r="H63" i="4" s="1"/>
  <c r="I63" i="4" s="1"/>
  <c r="J63" i="4" s="1"/>
  <c r="K63" i="4" s="1"/>
  <c r="L63" i="4" s="1"/>
  <c r="A62" i="4"/>
  <c r="B62" i="4" s="1"/>
  <c r="C62" i="4" s="1"/>
  <c r="D62" i="4" s="1"/>
  <c r="E62" i="4" s="1"/>
  <c r="F62" i="4" s="1"/>
  <c r="G62" i="4" s="1"/>
  <c r="H62" i="4" s="1"/>
  <c r="I62" i="4" s="1"/>
  <c r="J62" i="4" s="1"/>
  <c r="K62" i="4" s="1"/>
  <c r="L62" i="4" s="1"/>
  <c r="M61" i="4"/>
  <c r="A61" i="4" s="1"/>
  <c r="B61" i="4" s="1"/>
  <c r="C61" i="4" s="1"/>
  <c r="D61" i="4" s="1"/>
  <c r="E61" i="4" s="1"/>
  <c r="F61" i="4" s="1"/>
  <c r="G61" i="4" s="1"/>
  <c r="H61" i="4" s="1"/>
  <c r="I61" i="4" s="1"/>
  <c r="J61" i="4" s="1"/>
  <c r="K61" i="4" s="1"/>
  <c r="L61" i="4" s="1"/>
  <c r="M60" i="4"/>
  <c r="A60" i="4" s="1"/>
  <c r="B60" i="4" s="1"/>
  <c r="C60" i="4" s="1"/>
  <c r="D60" i="4" s="1"/>
  <c r="E60" i="4" s="1"/>
  <c r="F60" i="4" s="1"/>
  <c r="G60" i="4" s="1"/>
  <c r="H60" i="4" s="1"/>
  <c r="I60" i="4" s="1"/>
  <c r="J60" i="4" s="1"/>
  <c r="K60" i="4" s="1"/>
  <c r="L60" i="4" s="1"/>
  <c r="A59" i="4"/>
  <c r="B59" i="4" s="1"/>
  <c r="C59" i="4" s="1"/>
  <c r="D59" i="4" s="1"/>
  <c r="E59" i="4" s="1"/>
  <c r="F59" i="4" s="1"/>
  <c r="G59" i="4" s="1"/>
  <c r="H59" i="4" s="1"/>
  <c r="I59" i="4" s="1"/>
  <c r="J59" i="4" s="1"/>
  <c r="K59" i="4" s="1"/>
  <c r="L59" i="4" s="1"/>
  <c r="M58" i="4"/>
  <c r="A58" i="4" s="1"/>
  <c r="B58" i="4" s="1"/>
  <c r="C58" i="4" s="1"/>
  <c r="D58" i="4" s="1"/>
  <c r="E58" i="4" s="1"/>
  <c r="F58" i="4" s="1"/>
  <c r="G58" i="4" s="1"/>
  <c r="H58" i="4" s="1"/>
  <c r="I58" i="4" s="1"/>
  <c r="J58" i="4" s="1"/>
  <c r="K58" i="4" s="1"/>
  <c r="L58" i="4" s="1"/>
  <c r="M57" i="4"/>
  <c r="A57" i="4" s="1"/>
  <c r="B57" i="4" s="1"/>
  <c r="C57" i="4" s="1"/>
  <c r="D57" i="4" s="1"/>
  <c r="E57" i="4" s="1"/>
  <c r="F57" i="4" s="1"/>
  <c r="G57" i="4" s="1"/>
  <c r="H57" i="4" s="1"/>
  <c r="I57" i="4" s="1"/>
  <c r="J57" i="4" s="1"/>
  <c r="K57" i="4" s="1"/>
  <c r="L57" i="4" s="1"/>
  <c r="A56" i="4"/>
  <c r="B56" i="4" s="1"/>
  <c r="C56" i="4" s="1"/>
  <c r="D56" i="4" s="1"/>
  <c r="E56" i="4" s="1"/>
  <c r="F56" i="4" s="1"/>
  <c r="G56" i="4" s="1"/>
  <c r="H56" i="4" s="1"/>
  <c r="I56" i="4" s="1"/>
  <c r="J56" i="4" s="1"/>
  <c r="K56" i="4" s="1"/>
  <c r="L56" i="4" s="1"/>
  <c r="M55" i="4"/>
  <c r="A55" i="4" s="1"/>
  <c r="B55" i="4" s="1"/>
  <c r="C55" i="4" s="1"/>
  <c r="D55" i="4" s="1"/>
  <c r="E55" i="4" s="1"/>
  <c r="F55" i="4" s="1"/>
  <c r="G55" i="4" s="1"/>
  <c r="H55" i="4" s="1"/>
  <c r="I55" i="4" s="1"/>
  <c r="J55" i="4" s="1"/>
  <c r="K55" i="4" s="1"/>
  <c r="L55" i="4" s="1"/>
  <c r="M54" i="4"/>
  <c r="A54" i="4" s="1"/>
  <c r="B54" i="4" s="1"/>
  <c r="C54" i="4" s="1"/>
  <c r="D54" i="4" s="1"/>
  <c r="E54" i="4" s="1"/>
  <c r="F54" i="4" s="1"/>
  <c r="G54" i="4" s="1"/>
  <c r="H54" i="4" s="1"/>
  <c r="I54" i="4" s="1"/>
  <c r="J54" i="4" s="1"/>
  <c r="K54" i="4" s="1"/>
  <c r="L54" i="4" s="1"/>
  <c r="A53" i="4"/>
  <c r="B53" i="4" s="1"/>
  <c r="C53" i="4" s="1"/>
  <c r="D53" i="4" s="1"/>
  <c r="E53" i="4" s="1"/>
  <c r="F53" i="4" s="1"/>
  <c r="G53" i="4" s="1"/>
  <c r="H53" i="4" s="1"/>
  <c r="I53" i="4" s="1"/>
  <c r="J53" i="4" s="1"/>
  <c r="K53" i="4" s="1"/>
  <c r="L53" i="4" s="1"/>
  <c r="M52" i="4"/>
  <c r="A52" i="4" s="1"/>
  <c r="B52" i="4" s="1"/>
  <c r="C52" i="4" s="1"/>
  <c r="D52" i="4" s="1"/>
  <c r="E52" i="4" s="1"/>
  <c r="F52" i="4" s="1"/>
  <c r="G52" i="4" s="1"/>
  <c r="H52" i="4" s="1"/>
  <c r="I52" i="4" s="1"/>
  <c r="J52" i="4" s="1"/>
  <c r="K52" i="4" s="1"/>
  <c r="L52" i="4" s="1"/>
  <c r="M51" i="4"/>
  <c r="A51" i="4" s="1"/>
  <c r="B51" i="4" s="1"/>
  <c r="C51" i="4" s="1"/>
  <c r="D51" i="4" s="1"/>
  <c r="E51" i="4" s="1"/>
  <c r="F51" i="4" s="1"/>
  <c r="G51" i="4" s="1"/>
  <c r="H51" i="4" s="1"/>
  <c r="I51" i="4" s="1"/>
  <c r="J51" i="4" s="1"/>
  <c r="K51" i="4" s="1"/>
  <c r="L51" i="4" s="1"/>
  <c r="A50" i="4"/>
  <c r="B50" i="4" s="1"/>
  <c r="C50" i="4" s="1"/>
  <c r="D50" i="4" s="1"/>
  <c r="E50" i="4" s="1"/>
  <c r="F50" i="4" s="1"/>
  <c r="G50" i="4" s="1"/>
  <c r="H50" i="4" s="1"/>
  <c r="I50" i="4" s="1"/>
  <c r="J50" i="4" s="1"/>
  <c r="K50" i="4" s="1"/>
  <c r="L50" i="4" s="1"/>
  <c r="A17" i="1"/>
  <c r="B17" i="1"/>
  <c r="C17" i="1"/>
  <c r="D17" i="1"/>
  <c r="E17" i="1"/>
  <c r="F17" i="1"/>
  <c r="G17" i="1"/>
  <c r="H17" i="1"/>
  <c r="I17" i="1"/>
  <c r="J17" i="1"/>
  <c r="K17" i="1"/>
  <c r="L17" i="1"/>
  <c r="A18" i="1"/>
  <c r="B18" i="1"/>
  <c r="C18" i="1"/>
  <c r="D18" i="1"/>
  <c r="E18" i="1"/>
  <c r="F18" i="1"/>
  <c r="G18" i="1"/>
  <c r="H18" i="1"/>
  <c r="I18" i="1"/>
  <c r="J18" i="1"/>
  <c r="K18" i="1"/>
  <c r="L18" i="1"/>
  <c r="A19" i="1"/>
  <c r="B19" i="1"/>
  <c r="C19" i="1"/>
  <c r="D19" i="1"/>
  <c r="E19" i="1"/>
  <c r="F19" i="1"/>
  <c r="G19" i="1"/>
  <c r="H19" i="1"/>
  <c r="I19" i="1"/>
  <c r="J19" i="1"/>
  <c r="K19" i="1"/>
  <c r="L19" i="1"/>
  <c r="A20" i="1"/>
  <c r="B20" i="1"/>
  <c r="C20" i="1"/>
  <c r="D20" i="1"/>
  <c r="E20" i="1"/>
  <c r="F20" i="1"/>
  <c r="G20" i="1"/>
  <c r="H20" i="1"/>
  <c r="I20" i="1"/>
  <c r="J20" i="1"/>
  <c r="K20" i="1"/>
  <c r="L20" i="1"/>
  <c r="A21" i="1"/>
  <c r="B21" i="1"/>
  <c r="C21" i="1"/>
  <c r="D21" i="1"/>
  <c r="E21" i="1"/>
  <c r="F21" i="1"/>
  <c r="G21" i="1"/>
  <c r="H21" i="1"/>
  <c r="I21" i="1"/>
  <c r="J21" i="1"/>
  <c r="K21" i="1"/>
  <c r="L21" i="1"/>
  <c r="A22" i="1"/>
  <c r="B22" i="1"/>
  <c r="C22" i="1"/>
  <c r="D22" i="1"/>
  <c r="E22" i="1"/>
  <c r="F22" i="1"/>
  <c r="G22" i="1"/>
  <c r="H22" i="1"/>
  <c r="I22" i="1"/>
  <c r="J22" i="1"/>
  <c r="K22" i="1"/>
  <c r="L22" i="1"/>
  <c r="A23" i="1"/>
  <c r="B23" i="1"/>
  <c r="C23" i="1"/>
  <c r="D23" i="1"/>
  <c r="E23" i="1"/>
  <c r="F23" i="1"/>
  <c r="G23" i="1"/>
  <c r="H23" i="1"/>
  <c r="I23" i="1"/>
  <c r="J23" i="1"/>
  <c r="K23" i="1"/>
  <c r="L23" i="1"/>
  <c r="A24" i="1"/>
  <c r="B24" i="1"/>
  <c r="C24" i="1"/>
  <c r="D24" i="1"/>
  <c r="E24" i="1"/>
  <c r="F24" i="1"/>
  <c r="G24" i="1"/>
  <c r="H24" i="1"/>
  <c r="I24" i="1"/>
  <c r="J24" i="1"/>
  <c r="K24" i="1"/>
  <c r="L24" i="1"/>
  <c r="A25" i="1"/>
  <c r="B25" i="1"/>
  <c r="C25" i="1"/>
  <c r="D25" i="1"/>
  <c r="E25" i="1"/>
  <c r="F25" i="1"/>
  <c r="G25" i="1"/>
  <c r="H25" i="1"/>
  <c r="I25" i="1"/>
  <c r="J25" i="1"/>
  <c r="K25" i="1"/>
  <c r="L25" i="1"/>
  <c r="A26" i="1"/>
  <c r="B26" i="1"/>
  <c r="C26" i="1"/>
  <c r="D26" i="1"/>
  <c r="E26" i="1"/>
  <c r="F26" i="1"/>
  <c r="G26" i="1"/>
  <c r="H26" i="1"/>
  <c r="I26" i="1"/>
  <c r="J26" i="1"/>
  <c r="K26" i="1"/>
  <c r="L26" i="1"/>
  <c r="A27" i="1"/>
  <c r="B27" i="1"/>
  <c r="C27" i="1"/>
  <c r="D27" i="1"/>
  <c r="E27" i="1"/>
  <c r="F27" i="1"/>
  <c r="G27" i="1"/>
  <c r="H27" i="1"/>
  <c r="I27" i="1"/>
  <c r="J27" i="1"/>
  <c r="K27" i="1"/>
  <c r="L27" i="1"/>
  <c r="A28" i="1"/>
  <c r="B28" i="1"/>
  <c r="C28" i="1"/>
  <c r="D28" i="1"/>
  <c r="E28" i="1"/>
  <c r="F28" i="1"/>
  <c r="G28" i="1"/>
  <c r="H28" i="1"/>
  <c r="I28" i="1"/>
  <c r="J28" i="1"/>
  <c r="K28" i="1"/>
  <c r="L28" i="1"/>
  <c r="A29" i="1"/>
  <c r="B29" i="1"/>
  <c r="C29" i="1"/>
  <c r="D29" i="1"/>
  <c r="E29" i="1"/>
  <c r="F29" i="1"/>
  <c r="G29" i="1"/>
  <c r="H29" i="1"/>
  <c r="I29" i="1"/>
  <c r="J29" i="1"/>
  <c r="K29" i="1"/>
  <c r="L29" i="1"/>
  <c r="A30" i="1"/>
  <c r="B30" i="1"/>
  <c r="C30" i="1"/>
  <c r="D30" i="1"/>
  <c r="E30" i="1"/>
  <c r="F30" i="1"/>
  <c r="G30" i="1"/>
  <c r="H30" i="1"/>
  <c r="I30" i="1"/>
  <c r="J30" i="1"/>
  <c r="K30" i="1"/>
  <c r="L30" i="1"/>
  <c r="A31" i="1"/>
  <c r="B31" i="1"/>
  <c r="C31" i="1"/>
  <c r="D31" i="1"/>
  <c r="E31" i="1"/>
  <c r="F31" i="1"/>
  <c r="G31" i="1"/>
  <c r="H31" i="1"/>
  <c r="I31" i="1"/>
  <c r="J31" i="1"/>
  <c r="K31" i="1"/>
  <c r="L31" i="1"/>
  <c r="M60" i="1"/>
  <c r="M64" i="1"/>
  <c r="M63" i="1"/>
  <c r="M61" i="1"/>
  <c r="L33" i="4" l="1"/>
  <c r="H46" i="4"/>
  <c r="D39" i="4"/>
  <c r="D36" i="4"/>
  <c r="L36" i="4"/>
  <c r="L39" i="4"/>
  <c r="D33" i="4"/>
  <c r="H34" i="4"/>
  <c r="L42" i="4"/>
  <c r="H37" i="4"/>
  <c r="D45" i="4"/>
  <c r="I34" i="4"/>
  <c r="E36" i="4"/>
  <c r="I46" i="4"/>
  <c r="J34" i="4"/>
  <c r="J45" i="4"/>
  <c r="D43" i="4"/>
  <c r="I40" i="4"/>
  <c r="A42" i="4"/>
  <c r="E43" i="4"/>
  <c r="B34" i="4"/>
  <c r="F34" i="4"/>
  <c r="J37" i="4"/>
  <c r="J40" i="4"/>
  <c r="H33" i="4"/>
  <c r="D34" i="4"/>
  <c r="L34" i="4"/>
  <c r="D37" i="4"/>
  <c r="L37" i="4"/>
  <c r="D40" i="4"/>
  <c r="L40" i="4"/>
  <c r="L43" i="4"/>
  <c r="H45" i="4"/>
  <c r="D46" i="4"/>
  <c r="F37" i="4"/>
  <c r="J34" i="1"/>
  <c r="J39" i="1"/>
  <c r="J36" i="1"/>
  <c r="M51" i="1"/>
  <c r="A51" i="1" s="1"/>
  <c r="M52" i="1"/>
  <c r="A52" i="1" s="1"/>
  <c r="A64" i="1"/>
  <c r="A63" i="1"/>
  <c r="A61" i="1"/>
  <c r="A60" i="1"/>
  <c r="M58" i="1"/>
  <c r="A58" i="1" s="1"/>
  <c r="M57" i="1"/>
  <c r="A57" i="1" s="1"/>
  <c r="M55" i="1"/>
  <c r="A55" i="1" s="1"/>
  <c r="M54" i="1"/>
  <c r="A54" i="1" s="1"/>
  <c r="A53" i="1"/>
  <c r="A56" i="1"/>
  <c r="A59" i="1"/>
  <c r="A62" i="1"/>
  <c r="A50" i="1"/>
  <c r="L45" i="4" l="1"/>
  <c r="J39" i="4"/>
  <c r="G45" i="4"/>
  <c r="D42" i="4"/>
  <c r="E37" i="4"/>
  <c r="I33" i="4"/>
  <c r="F42" i="4"/>
  <c r="L46" i="4"/>
  <c r="C40" i="4"/>
  <c r="K33" i="4"/>
  <c r="H36" i="4"/>
  <c r="K43" i="4"/>
  <c r="E40" i="4"/>
  <c r="H42" i="4"/>
  <c r="I39" i="4"/>
  <c r="A33" i="4"/>
  <c r="C34" i="4"/>
  <c r="A40" i="4"/>
  <c r="H39" i="4"/>
  <c r="C33" i="4"/>
  <c r="K34" i="4"/>
  <c r="A37" i="4"/>
  <c r="J36" i="4"/>
  <c r="G34" i="4"/>
  <c r="J43" i="4"/>
  <c r="B46" i="4"/>
  <c r="G36" i="4"/>
  <c r="G42" i="4"/>
  <c r="B37" i="4"/>
  <c r="G40" i="4"/>
  <c r="B33" i="4"/>
  <c r="H40" i="4"/>
  <c r="K36" i="4"/>
  <c r="A43" i="4"/>
  <c r="B40" i="4"/>
  <c r="K42" i="4"/>
  <c r="B36" i="4"/>
  <c r="A46" i="4"/>
  <c r="J46" i="4"/>
  <c r="J33" i="4"/>
  <c r="A39" i="4"/>
  <c r="B42" i="4"/>
  <c r="F46" i="4"/>
  <c r="F33" i="4"/>
  <c r="A34" i="4"/>
  <c r="H43" i="4"/>
  <c r="G43" i="4"/>
  <c r="F43" i="4"/>
  <c r="I45" i="4"/>
  <c r="A36" i="4"/>
  <c r="E39" i="4"/>
  <c r="C36" i="4"/>
  <c r="E46" i="4"/>
  <c r="E42" i="4"/>
  <c r="C37" i="4"/>
  <c r="K45" i="4"/>
  <c r="G46" i="4"/>
  <c r="C39" i="4"/>
  <c r="A45" i="4"/>
  <c r="C45" i="4"/>
  <c r="K39" i="4"/>
  <c r="C43" i="4"/>
  <c r="K37" i="4"/>
  <c r="E33" i="4"/>
  <c r="G37" i="4"/>
  <c r="G39" i="4"/>
  <c r="B45" i="4"/>
  <c r="K46" i="4"/>
  <c r="F40" i="4"/>
  <c r="I37" i="4"/>
  <c r="J42" i="4"/>
  <c r="I42" i="4"/>
  <c r="C42" i="4"/>
  <c r="F36" i="4"/>
  <c r="I36" i="4"/>
  <c r="F39" i="4"/>
  <c r="B39" i="4"/>
  <c r="E34" i="4"/>
  <c r="E45" i="4"/>
  <c r="I43" i="4"/>
  <c r="G33" i="4"/>
  <c r="B43" i="4"/>
  <c r="K40" i="4"/>
  <c r="C46" i="4"/>
  <c r="F45" i="4"/>
  <c r="I45" i="1"/>
  <c r="K40" i="1"/>
  <c r="K37" i="1"/>
  <c r="L37" i="1"/>
  <c r="D43" i="1"/>
  <c r="L43" i="1"/>
  <c r="K43" i="1"/>
  <c r="A37" i="1"/>
  <c r="F40" i="1"/>
  <c r="E46" i="1"/>
  <c r="C43" i="1"/>
  <c r="J40" i="1"/>
  <c r="I43" i="1"/>
  <c r="J37" i="1"/>
  <c r="D37" i="1"/>
  <c r="E37" i="1"/>
  <c r="G46" i="1"/>
  <c r="H34" i="1"/>
  <c r="E43" i="1"/>
  <c r="F34" i="1"/>
  <c r="H43" i="1"/>
  <c r="I37" i="1"/>
  <c r="A43" i="1"/>
  <c r="B34" i="1"/>
  <c r="G43" i="1"/>
  <c r="F46" i="1"/>
  <c r="B40" i="1"/>
  <c r="L40" i="1"/>
  <c r="C46" i="1"/>
  <c r="C34" i="1"/>
  <c r="G37" i="1"/>
  <c r="G40" i="1"/>
  <c r="A40" i="1"/>
  <c r="B43" i="1"/>
  <c r="K46" i="1"/>
  <c r="H40" i="1"/>
  <c r="I40" i="1"/>
  <c r="A46" i="1"/>
  <c r="C37" i="1"/>
  <c r="D46" i="1"/>
  <c r="D34" i="1"/>
  <c r="J46" i="1"/>
  <c r="I46" i="1"/>
  <c r="D40" i="1"/>
  <c r="F43" i="1"/>
  <c r="K34" i="1"/>
  <c r="E34" i="1"/>
  <c r="F37" i="1"/>
  <c r="E40" i="1"/>
  <c r="H46" i="1"/>
  <c r="L46" i="1"/>
  <c r="B46" i="1"/>
  <c r="H37" i="1"/>
  <c r="J43" i="1"/>
  <c r="B37" i="1"/>
  <c r="C39" i="1"/>
  <c r="C40" i="1"/>
  <c r="I34" i="1"/>
  <c r="C42" i="1"/>
  <c r="G34" i="1"/>
  <c r="L34" i="1"/>
  <c r="K42" i="1"/>
  <c r="F42" i="1"/>
  <c r="L33" i="1"/>
  <c r="D33" i="1"/>
  <c r="D39" i="1"/>
  <c r="G33" i="1"/>
  <c r="H42" i="1"/>
  <c r="B36" i="1"/>
  <c r="C45" i="1"/>
  <c r="C33" i="1"/>
  <c r="G39" i="1"/>
  <c r="H36" i="1"/>
  <c r="J33" i="1"/>
  <c r="F39" i="1"/>
  <c r="E45" i="1"/>
  <c r="K45" i="1"/>
  <c r="F33" i="1"/>
  <c r="E42" i="1"/>
  <c r="H39" i="1"/>
  <c r="E33" i="1"/>
  <c r="J42" i="1"/>
  <c r="D45" i="1"/>
  <c r="L42" i="1"/>
  <c r="G42" i="1"/>
  <c r="K39" i="1"/>
  <c r="J45" i="1"/>
  <c r="K33" i="1"/>
  <c r="C36" i="1"/>
  <c r="B45" i="1"/>
  <c r="K36" i="1"/>
  <c r="H45" i="1"/>
  <c r="A36" i="1"/>
  <c r="D42" i="1"/>
  <c r="F45" i="1"/>
  <c r="L45" i="1"/>
  <c r="A42" i="1"/>
  <c r="G36" i="1"/>
  <c r="B39" i="1"/>
  <c r="B42" i="1"/>
  <c r="B33" i="1"/>
  <c r="D36" i="1"/>
  <c r="G45" i="1"/>
  <c r="F36" i="1"/>
  <c r="L36" i="1"/>
  <c r="I36" i="1"/>
  <c r="E36" i="1"/>
  <c r="I39" i="1"/>
  <c r="H33" i="1"/>
  <c r="E39" i="1"/>
  <c r="I33" i="1"/>
  <c r="L39" i="1"/>
  <c r="A45" i="1"/>
  <c r="A39" i="1"/>
  <c r="I42" i="1"/>
  <c r="B53" i="1"/>
  <c r="B57" i="1"/>
  <c r="B60" i="1"/>
  <c r="B61" i="1"/>
  <c r="B50" i="1"/>
  <c r="B63" i="1"/>
  <c r="B59" i="1"/>
  <c r="B52" i="1"/>
  <c r="B56" i="1"/>
  <c r="B51" i="1"/>
  <c r="B62" i="1"/>
  <c r="B64" i="1"/>
  <c r="B54" i="1"/>
  <c r="B55" i="1"/>
  <c r="B58" i="1"/>
  <c r="A34" i="1"/>
  <c r="A33" i="1" l="1"/>
  <c r="C55" i="1"/>
  <c r="C63" i="1"/>
  <c r="C56" i="1"/>
  <c r="C53" i="1"/>
  <c r="C51" i="1"/>
  <c r="C57" i="1"/>
  <c r="C54" i="1"/>
  <c r="C50" i="1"/>
  <c r="C64" i="1"/>
  <c r="C52" i="1"/>
  <c r="C61" i="1"/>
  <c r="C58" i="1"/>
  <c r="C62" i="1"/>
  <c r="C59" i="1"/>
  <c r="C60" i="1"/>
  <c r="D57" i="1" l="1"/>
  <c r="D58" i="1"/>
  <c r="D51" i="1"/>
  <c r="D55" i="1"/>
  <c r="D62" i="1"/>
  <c r="D64" i="1"/>
  <c r="D63" i="1"/>
  <c r="D60" i="1"/>
  <c r="D61" i="1"/>
  <c r="D50" i="1"/>
  <c r="D53" i="1"/>
  <c r="D59" i="1"/>
  <c r="D52" i="1"/>
  <c r="D54" i="1"/>
  <c r="D56" i="1"/>
  <c r="E61" i="1" l="1"/>
  <c r="E57" i="1"/>
  <c r="E52" i="1"/>
  <c r="E62" i="1"/>
  <c r="E59" i="1"/>
  <c r="E60" i="1"/>
  <c r="E55" i="1"/>
  <c r="E56" i="1"/>
  <c r="E53" i="1"/>
  <c r="E63" i="1"/>
  <c r="E51" i="1"/>
  <c r="E54" i="1"/>
  <c r="E50" i="1"/>
  <c r="E64" i="1"/>
  <c r="E58" i="1"/>
  <c r="F54" i="1" l="1"/>
  <c r="F56" i="1"/>
  <c r="F58" i="1"/>
  <c r="F51" i="1"/>
  <c r="F55" i="1"/>
  <c r="F52" i="1"/>
  <c r="F62" i="1"/>
  <c r="F64" i="1"/>
  <c r="F63" i="1"/>
  <c r="F60" i="1"/>
  <c r="F57" i="1"/>
  <c r="F50" i="1"/>
  <c r="F53" i="1"/>
  <c r="F59" i="1"/>
  <c r="F61" i="1"/>
  <c r="G52" i="1" l="1"/>
  <c r="G59" i="1"/>
  <c r="G60" i="1"/>
  <c r="G56" i="1"/>
  <c r="G53" i="1"/>
  <c r="G63" i="1"/>
  <c r="G55" i="1"/>
  <c r="G54" i="1"/>
  <c r="G50" i="1"/>
  <c r="G64" i="1"/>
  <c r="G51" i="1"/>
  <c r="G61" i="1"/>
  <c r="G57" i="1"/>
  <c r="G62" i="1"/>
  <c r="G58" i="1"/>
  <c r="H54" i="1" l="1"/>
  <c r="H56" i="1"/>
  <c r="H51" i="1"/>
  <c r="H60" i="1"/>
  <c r="H61" i="1"/>
  <c r="H58" i="1"/>
  <c r="H55" i="1"/>
  <c r="H62" i="1"/>
  <c r="H64" i="1"/>
  <c r="H63" i="1"/>
  <c r="H59" i="1"/>
  <c r="H57" i="1"/>
  <c r="H50" i="1"/>
  <c r="H53" i="1"/>
  <c r="H52" i="1"/>
  <c r="I63" i="1" l="1"/>
  <c r="I56" i="1"/>
  <c r="I50" i="1"/>
  <c r="I61" i="1"/>
  <c r="I54" i="1"/>
  <c r="I53" i="1"/>
  <c r="I58" i="1"/>
  <c r="I64" i="1"/>
  <c r="I57" i="1"/>
  <c r="I62" i="1"/>
  <c r="I60" i="1"/>
  <c r="I52" i="1"/>
  <c r="I59" i="1"/>
  <c r="I55" i="1"/>
  <c r="I51" i="1"/>
  <c r="J61" i="1" l="1"/>
  <c r="J52" i="1"/>
  <c r="J51" i="1"/>
  <c r="J60" i="1"/>
  <c r="J58" i="1"/>
  <c r="J50" i="1"/>
  <c r="J64" i="1"/>
  <c r="J55" i="1"/>
  <c r="J62" i="1"/>
  <c r="J53" i="1"/>
  <c r="J56" i="1"/>
  <c r="J59" i="1"/>
  <c r="J57" i="1"/>
  <c r="J54" i="1"/>
  <c r="J63" i="1"/>
  <c r="K50" i="1" l="1"/>
  <c r="K57" i="1"/>
  <c r="K58" i="1"/>
  <c r="K61" i="1"/>
  <c r="K54" i="1"/>
  <c r="K62" i="1"/>
  <c r="K59" i="1"/>
  <c r="K55" i="1"/>
  <c r="K60" i="1"/>
  <c r="K63" i="1"/>
  <c r="K56" i="1"/>
  <c r="K64" i="1"/>
  <c r="K51" i="1"/>
  <c r="K53" i="1"/>
  <c r="K52" i="1"/>
  <c r="L51" i="1" l="1"/>
  <c r="L60" i="1"/>
  <c r="L54" i="1"/>
  <c r="L50" i="1"/>
  <c r="L55" i="1"/>
  <c r="L52" i="1"/>
  <c r="L56" i="1"/>
  <c r="L59" i="1"/>
  <c r="L58" i="1"/>
  <c r="L64" i="1"/>
  <c r="L61" i="1"/>
  <c r="L53" i="1"/>
  <c r="L63" i="1"/>
  <c r="L62" i="1"/>
  <c r="L57" i="1"/>
</calcChain>
</file>

<file path=xl/sharedStrings.xml><?xml version="1.0" encoding="utf-8"?>
<sst xmlns="http://schemas.openxmlformats.org/spreadsheetml/2006/main" count="32" uniqueCount="9">
  <si>
    <t>A260</t>
  </si>
  <si>
    <t>E260</t>
  </si>
  <si>
    <t>nM conc</t>
  </si>
  <si>
    <t>mean</t>
  </si>
  <si>
    <t>error</t>
  </si>
  <si>
    <t>norm 0-100</t>
  </si>
  <si>
    <t>3 pt Avg</t>
  </si>
  <si>
    <t>input: FL intensities from plate reader</t>
  </si>
  <si>
    <t>input: A260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</si>
</sst>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164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8A07-6B33-424D-AD65-459815D3ED45}">
  <dimension ref="A1:O64"/>
  <sheetViews>
    <sheetView tabSelected="1" zoomScaleNormal="100" workbookViewId="0">
      <selection activeCell="F84" sqref="F84"/>
    </sheetView>
  </sheetViews>
  <sheetFormatPr defaultRowHeight="14.5" x14ac:dyDescent="0.35"/>
  <cols>
    <col min="1" max="1" width="12.54296875" customWidth="1"/>
    <col min="2" max="8" width="10.36328125" bestFit="1" customWidth="1"/>
    <col min="9" max="11" width="9.36328125" bestFit="1" customWidth="1"/>
    <col min="12" max="12" width="10.36328125" bestFit="1" customWidth="1"/>
    <col min="14" max="14" width="11.26953125" customWidth="1"/>
  </cols>
  <sheetData>
    <row r="1" spans="1:14" x14ac:dyDescent="0.35">
      <c r="A1" s="7">
        <v>46650</v>
      </c>
      <c r="B1" s="7">
        <v>46291</v>
      </c>
      <c r="C1" s="7">
        <v>43357</v>
      </c>
      <c r="D1" s="7">
        <v>43645</v>
      </c>
      <c r="E1" s="7">
        <v>41618</v>
      </c>
      <c r="F1" s="7">
        <v>35659</v>
      </c>
      <c r="G1" s="7">
        <v>29537</v>
      </c>
      <c r="H1" s="7">
        <v>24795</v>
      </c>
      <c r="I1" s="7">
        <v>22553</v>
      </c>
      <c r="J1" s="7">
        <v>22683</v>
      </c>
      <c r="K1" s="7">
        <v>23219</v>
      </c>
      <c r="L1" s="7">
        <v>22223</v>
      </c>
      <c r="M1" s="2">
        <v>1</v>
      </c>
      <c r="N1" s="8" t="s">
        <v>7</v>
      </c>
    </row>
    <row r="2" spans="1:14" x14ac:dyDescent="0.35">
      <c r="A2" s="7">
        <v>46231</v>
      </c>
      <c r="B2" s="7">
        <v>47040</v>
      </c>
      <c r="C2" s="7">
        <v>44561</v>
      </c>
      <c r="D2" s="7">
        <v>42550</v>
      </c>
      <c r="E2" s="7">
        <v>40586</v>
      </c>
      <c r="F2" s="7">
        <v>35127</v>
      </c>
      <c r="G2" s="7">
        <v>30174</v>
      </c>
      <c r="H2" s="7">
        <v>24603</v>
      </c>
      <c r="I2" s="7">
        <v>24076</v>
      </c>
      <c r="J2" s="7">
        <v>23731</v>
      </c>
      <c r="K2" s="7">
        <v>22771</v>
      </c>
      <c r="L2" s="7">
        <v>22398</v>
      </c>
      <c r="M2" s="2">
        <v>1</v>
      </c>
      <c r="N2" s="8"/>
    </row>
    <row r="3" spans="1:14" x14ac:dyDescent="0.35">
      <c r="A3" s="7">
        <v>47160</v>
      </c>
      <c r="B3" s="7">
        <v>47733</v>
      </c>
      <c r="C3" s="7">
        <v>45179</v>
      </c>
      <c r="D3" s="7">
        <v>43202</v>
      </c>
      <c r="E3" s="7">
        <v>40109</v>
      </c>
      <c r="F3" s="7">
        <v>36763</v>
      </c>
      <c r="G3" s="7">
        <v>29096</v>
      </c>
      <c r="H3" s="7">
        <v>26217</v>
      </c>
      <c r="I3" s="7">
        <v>23664</v>
      </c>
      <c r="J3" s="7">
        <v>23202</v>
      </c>
      <c r="K3" s="7">
        <v>22998</v>
      </c>
      <c r="L3" s="7">
        <v>23184</v>
      </c>
      <c r="M3" s="2">
        <v>1</v>
      </c>
      <c r="N3" s="8"/>
    </row>
    <row r="4" spans="1:14" x14ac:dyDescent="0.35">
      <c r="A4" s="7">
        <v>47405</v>
      </c>
      <c r="B4" s="7">
        <v>47655</v>
      </c>
      <c r="C4" s="7">
        <v>45945</v>
      </c>
      <c r="D4" s="7">
        <v>44337</v>
      </c>
      <c r="E4" s="7">
        <v>41211</v>
      </c>
      <c r="F4" s="7">
        <v>37909</v>
      </c>
      <c r="G4" s="7">
        <v>29976</v>
      </c>
      <c r="H4" s="7">
        <v>25933</v>
      </c>
      <c r="I4" s="7">
        <v>23381</v>
      </c>
      <c r="J4" s="7">
        <v>22035</v>
      </c>
      <c r="K4" s="7">
        <v>23755</v>
      </c>
      <c r="L4" s="7">
        <v>23709</v>
      </c>
      <c r="M4" s="2">
        <v>2</v>
      </c>
      <c r="N4" s="8"/>
    </row>
    <row r="5" spans="1:14" x14ac:dyDescent="0.35">
      <c r="A5" s="7">
        <v>48030</v>
      </c>
      <c r="B5" s="7">
        <v>46611</v>
      </c>
      <c r="C5" s="7">
        <v>46299</v>
      </c>
      <c r="D5" s="7">
        <v>44302</v>
      </c>
      <c r="E5" s="7">
        <v>41500</v>
      </c>
      <c r="F5" s="7">
        <v>36499</v>
      </c>
      <c r="G5" s="7">
        <v>31278</v>
      </c>
      <c r="H5" s="7">
        <v>24808</v>
      </c>
      <c r="I5" s="7">
        <v>23813</v>
      </c>
      <c r="J5" s="7">
        <v>22294</v>
      </c>
      <c r="K5" s="7">
        <v>23149</v>
      </c>
      <c r="L5" s="7">
        <v>22821</v>
      </c>
      <c r="M5" s="2">
        <v>2</v>
      </c>
      <c r="N5" s="8"/>
    </row>
    <row r="6" spans="1:14" x14ac:dyDescent="0.35">
      <c r="A6" s="7">
        <v>48126</v>
      </c>
      <c r="B6" s="7">
        <v>47734</v>
      </c>
      <c r="C6" s="7">
        <v>46600</v>
      </c>
      <c r="D6" s="7">
        <v>43002</v>
      </c>
      <c r="E6" s="7">
        <v>41176</v>
      </c>
      <c r="F6" s="7">
        <v>37094</v>
      </c>
      <c r="G6" s="7">
        <v>31508</v>
      </c>
      <c r="H6" s="7">
        <v>25721</v>
      </c>
      <c r="I6" s="7">
        <v>23413</v>
      </c>
      <c r="J6" s="7">
        <v>21571</v>
      </c>
      <c r="K6" s="7">
        <v>23366</v>
      </c>
      <c r="L6" s="7">
        <v>23504</v>
      </c>
      <c r="M6" s="2">
        <v>2</v>
      </c>
      <c r="N6" s="8"/>
    </row>
    <row r="7" spans="1:14" x14ac:dyDescent="0.35">
      <c r="A7" s="7">
        <v>48514</v>
      </c>
      <c r="B7" s="7">
        <v>48020</v>
      </c>
      <c r="C7" s="7">
        <v>45247</v>
      </c>
      <c r="D7" s="7">
        <v>44541</v>
      </c>
      <c r="E7" s="7">
        <v>41035</v>
      </c>
      <c r="F7" s="7">
        <v>36641</v>
      </c>
      <c r="G7" s="7">
        <v>29575</v>
      </c>
      <c r="H7" s="7">
        <v>24665</v>
      </c>
      <c r="I7" s="7">
        <v>22559</v>
      </c>
      <c r="J7" s="7">
        <v>23713</v>
      </c>
      <c r="K7" s="7">
        <v>24171</v>
      </c>
      <c r="L7" s="7">
        <v>23719</v>
      </c>
      <c r="M7" s="2">
        <v>3</v>
      </c>
      <c r="N7" s="8"/>
    </row>
    <row r="8" spans="1:14" x14ac:dyDescent="0.35">
      <c r="A8" s="7">
        <v>46970</v>
      </c>
      <c r="B8" s="7">
        <v>48239</v>
      </c>
      <c r="C8" s="7">
        <v>45436</v>
      </c>
      <c r="D8" s="7">
        <v>43763</v>
      </c>
      <c r="E8" s="7">
        <v>42233</v>
      </c>
      <c r="F8" s="7">
        <v>35496</v>
      </c>
      <c r="G8" s="7">
        <v>28909</v>
      </c>
      <c r="H8" s="7">
        <v>24214</v>
      </c>
      <c r="I8" s="7">
        <v>22541</v>
      </c>
      <c r="J8" s="7">
        <v>22277</v>
      </c>
      <c r="K8" s="7">
        <v>23898</v>
      </c>
      <c r="L8" s="7">
        <v>22858</v>
      </c>
      <c r="M8" s="2">
        <v>3</v>
      </c>
      <c r="N8" s="8"/>
    </row>
    <row r="9" spans="1:14" x14ac:dyDescent="0.35">
      <c r="A9" s="7">
        <v>46181</v>
      </c>
      <c r="B9" s="7">
        <v>45109</v>
      </c>
      <c r="C9" s="7">
        <v>44793</v>
      </c>
      <c r="D9" s="7">
        <v>44060</v>
      </c>
      <c r="E9" s="7">
        <v>40970</v>
      </c>
      <c r="F9" s="7">
        <v>36496</v>
      </c>
      <c r="G9" s="7">
        <v>30314</v>
      </c>
      <c r="H9" s="7">
        <v>25495</v>
      </c>
      <c r="I9" s="7">
        <v>22853</v>
      </c>
      <c r="J9" s="7">
        <v>22935</v>
      </c>
      <c r="K9" s="7">
        <v>23018</v>
      </c>
      <c r="L9" s="7">
        <v>24241</v>
      </c>
      <c r="M9" s="2">
        <v>3</v>
      </c>
      <c r="N9" s="8"/>
    </row>
    <row r="10" spans="1:14" x14ac:dyDescent="0.35">
      <c r="A10" s="7">
        <v>46434</v>
      </c>
      <c r="B10" s="7">
        <v>45863</v>
      </c>
      <c r="C10" s="7">
        <v>44363</v>
      </c>
      <c r="D10" s="7">
        <v>43017</v>
      </c>
      <c r="E10" s="7">
        <v>37643</v>
      </c>
      <c r="F10" s="7">
        <v>35526</v>
      </c>
      <c r="G10" s="7">
        <v>27712</v>
      </c>
      <c r="H10" s="7">
        <v>24271</v>
      </c>
      <c r="I10" s="7">
        <v>22125</v>
      </c>
      <c r="J10" s="7">
        <v>23367</v>
      </c>
      <c r="K10" s="7">
        <v>22170</v>
      </c>
      <c r="L10" s="7">
        <v>23690</v>
      </c>
      <c r="M10" s="2">
        <v>4</v>
      </c>
      <c r="N10" s="8"/>
    </row>
    <row r="11" spans="1:14" x14ac:dyDescent="0.35">
      <c r="A11" s="7">
        <v>45028</v>
      </c>
      <c r="B11" s="7">
        <v>45365</v>
      </c>
      <c r="C11" s="7">
        <v>43433</v>
      </c>
      <c r="D11" s="7">
        <v>43037</v>
      </c>
      <c r="E11" s="7">
        <v>40867</v>
      </c>
      <c r="F11" s="7">
        <v>36889</v>
      </c>
      <c r="G11" s="7">
        <v>28459</v>
      </c>
      <c r="H11" s="7">
        <v>24757</v>
      </c>
      <c r="I11" s="7">
        <v>22521</v>
      </c>
      <c r="J11" s="7">
        <v>22259</v>
      </c>
      <c r="K11" s="7">
        <v>24678</v>
      </c>
      <c r="L11" s="7">
        <v>22435</v>
      </c>
      <c r="M11" s="2">
        <v>4</v>
      </c>
      <c r="N11" s="8"/>
    </row>
    <row r="12" spans="1:14" x14ac:dyDescent="0.35">
      <c r="A12" s="7">
        <v>45692</v>
      </c>
      <c r="B12" s="7">
        <v>45088</v>
      </c>
      <c r="C12" s="7">
        <v>44309</v>
      </c>
      <c r="D12" s="7">
        <v>41846</v>
      </c>
      <c r="E12" s="7">
        <v>41114</v>
      </c>
      <c r="F12" s="7">
        <v>36817</v>
      </c>
      <c r="G12" s="7">
        <v>28948</v>
      </c>
      <c r="H12" s="7">
        <v>24185</v>
      </c>
      <c r="I12" s="7">
        <v>23087</v>
      </c>
      <c r="J12" s="7">
        <v>23594</v>
      </c>
      <c r="K12" s="7">
        <v>24016</v>
      </c>
      <c r="L12" s="7">
        <v>21864</v>
      </c>
      <c r="M12" s="2">
        <v>4</v>
      </c>
      <c r="N12" s="8"/>
    </row>
    <row r="13" spans="1:14" x14ac:dyDescent="0.35">
      <c r="A13" s="7">
        <v>45400</v>
      </c>
      <c r="B13" s="7">
        <v>45678</v>
      </c>
      <c r="C13" s="7">
        <v>43417</v>
      </c>
      <c r="D13" s="7">
        <v>42095</v>
      </c>
      <c r="E13" s="7">
        <v>39476</v>
      </c>
      <c r="F13" s="7">
        <v>34637</v>
      </c>
      <c r="G13" s="7">
        <v>28890</v>
      </c>
      <c r="H13" s="7">
        <v>24326</v>
      </c>
      <c r="I13" s="7">
        <v>22394</v>
      </c>
      <c r="J13" s="7">
        <v>23643</v>
      </c>
      <c r="K13" s="7">
        <v>23139</v>
      </c>
      <c r="L13" s="7">
        <v>23915</v>
      </c>
      <c r="M13" s="2">
        <v>5</v>
      </c>
      <c r="N13" s="8"/>
    </row>
    <row r="14" spans="1:14" x14ac:dyDescent="0.35">
      <c r="A14" s="7">
        <v>45426</v>
      </c>
      <c r="B14" s="7">
        <v>45381</v>
      </c>
      <c r="C14" s="7">
        <v>43391</v>
      </c>
      <c r="D14" s="7">
        <v>42704</v>
      </c>
      <c r="E14" s="7">
        <v>40328</v>
      </c>
      <c r="F14" s="7">
        <v>33353</v>
      </c>
      <c r="G14" s="7">
        <v>27654</v>
      </c>
      <c r="H14" s="7">
        <v>23180</v>
      </c>
      <c r="I14" s="7">
        <v>23029</v>
      </c>
      <c r="J14" s="7">
        <v>22019</v>
      </c>
      <c r="K14" s="7">
        <v>22233</v>
      </c>
      <c r="L14" s="7">
        <v>24500</v>
      </c>
      <c r="M14" s="2">
        <v>5</v>
      </c>
      <c r="N14" s="8"/>
    </row>
    <row r="15" spans="1:14" x14ac:dyDescent="0.35">
      <c r="A15" s="7">
        <v>45249</v>
      </c>
      <c r="B15" s="7">
        <v>45066</v>
      </c>
      <c r="C15" s="7">
        <v>43340</v>
      </c>
      <c r="D15" s="7">
        <v>41975</v>
      </c>
      <c r="E15" s="7">
        <v>38719</v>
      </c>
      <c r="F15" s="7">
        <v>33472</v>
      </c>
      <c r="G15" s="7">
        <v>27171</v>
      </c>
      <c r="H15" s="7">
        <v>23110</v>
      </c>
      <c r="I15" s="7">
        <v>23879</v>
      </c>
      <c r="J15" s="7">
        <v>22576</v>
      </c>
      <c r="K15" s="7">
        <v>22512</v>
      </c>
      <c r="L15" s="7">
        <v>22666</v>
      </c>
      <c r="M15" s="2">
        <v>5</v>
      </c>
      <c r="N15" s="8"/>
    </row>
    <row r="16" spans="1:14" s="1" customFormat="1" x14ac:dyDescent="0.35">
      <c r="A16" s="1" t="s">
        <v>5</v>
      </c>
      <c r="B16" s="1">
        <v>2</v>
      </c>
      <c r="C16" s="1">
        <v>3</v>
      </c>
      <c r="D16" s="1">
        <v>4</v>
      </c>
      <c r="E16" s="1">
        <v>5</v>
      </c>
      <c r="F16" s="1">
        <v>6</v>
      </c>
      <c r="G16" s="1">
        <v>7</v>
      </c>
      <c r="H16" s="1">
        <v>8</v>
      </c>
      <c r="I16" s="1">
        <v>9</v>
      </c>
      <c r="J16" s="1">
        <v>10</v>
      </c>
      <c r="K16" s="1">
        <v>11</v>
      </c>
      <c r="L16" s="1">
        <v>12</v>
      </c>
      <c r="M16" s="1">
        <v>13</v>
      </c>
    </row>
    <row r="17" spans="1:13" x14ac:dyDescent="0.35">
      <c r="A17">
        <f>100*(A1-MIN($A$1:$L$15))/(MAX($A$1:$L$15)-MIN($A$1:$L$15))</f>
        <v>93.081690977248272</v>
      </c>
      <c r="B17">
        <f t="shared" ref="B17:L17" si="0">100*(B1-MIN($A$1:$L$15))/(MAX($A$1:$L$15)-MIN($A$1:$L$15))</f>
        <v>91.749248413317005</v>
      </c>
      <c r="C17">
        <f t="shared" si="0"/>
        <v>80.859592472998557</v>
      </c>
      <c r="D17">
        <f t="shared" si="0"/>
        <v>81.928515755483801</v>
      </c>
      <c r="E17">
        <f t="shared" si="0"/>
        <v>74.405225847158817</v>
      </c>
      <c r="F17">
        <f t="shared" si="0"/>
        <v>52.28816390156998</v>
      </c>
      <c r="G17">
        <f t="shared" si="0"/>
        <v>29.566121070407899</v>
      </c>
      <c r="H17">
        <f t="shared" si="0"/>
        <v>11.966002301154289</v>
      </c>
      <c r="I17">
        <f t="shared" si="0"/>
        <v>3.6447314701406675</v>
      </c>
      <c r="J17">
        <f t="shared" si="0"/>
        <v>4.1272315629291469</v>
      </c>
      <c r="K17">
        <f t="shared" si="0"/>
        <v>6.1166165608877998</v>
      </c>
      <c r="L17">
        <f t="shared" si="0"/>
        <v>2.419923542292989</v>
      </c>
      <c r="M17" s="2">
        <v>1</v>
      </c>
    </row>
    <row r="18" spans="1:13" x14ac:dyDescent="0.35">
      <c r="A18">
        <f t="shared" ref="A18:L18" si="1">100*(A2-MIN($A$1:$L$15))/(MAX($A$1:$L$15)-MIN($A$1:$L$15))</f>
        <v>91.526556062799244</v>
      </c>
      <c r="B18">
        <f t="shared" si="1"/>
        <v>94.529191255613696</v>
      </c>
      <c r="C18">
        <f t="shared" si="1"/>
        <v>85.328285640054929</v>
      </c>
      <c r="D18">
        <f t="shared" si="1"/>
        <v>77.864380358534689</v>
      </c>
      <c r="E18">
        <f t="shared" si="1"/>
        <v>70.574917418253349</v>
      </c>
      <c r="F18">
        <f t="shared" si="1"/>
        <v>50.313625060312511</v>
      </c>
      <c r="G18">
        <f t="shared" si="1"/>
        <v>31.930371525071447</v>
      </c>
      <c r="H18">
        <f t="shared" si="1"/>
        <v>11.253386779497458</v>
      </c>
      <c r="I18">
        <f t="shared" si="1"/>
        <v>9.2974056341164673</v>
      </c>
      <c r="J18">
        <f t="shared" si="1"/>
        <v>8.016924618639349</v>
      </c>
      <c r="K18">
        <f t="shared" si="1"/>
        <v>4.4538470103551946</v>
      </c>
      <c r="L18">
        <f t="shared" si="1"/>
        <v>3.0694428979697879</v>
      </c>
      <c r="M18" s="2">
        <v>1</v>
      </c>
    </row>
    <row r="19" spans="1:13" x14ac:dyDescent="0.35">
      <c r="A19">
        <f t="shared" ref="A19:L19" si="2">100*(A3-MIN($A$1:$L$15))/(MAX($A$1:$L$15)-MIN($A$1:$L$15))</f>
        <v>94.974575956649218</v>
      </c>
      <c r="B19">
        <f t="shared" si="2"/>
        <v>97.101287904093823</v>
      </c>
      <c r="C19">
        <f t="shared" si="2"/>
        <v>87.622016850387851</v>
      </c>
      <c r="D19">
        <f t="shared" si="2"/>
        <v>80.284303900827666</v>
      </c>
      <c r="E19">
        <f t="shared" si="2"/>
        <v>68.804513231637159</v>
      </c>
      <c r="F19">
        <f t="shared" si="2"/>
        <v>56.385703151096763</v>
      </c>
      <c r="G19">
        <f t="shared" si="2"/>
        <v>27.929332294102363</v>
      </c>
      <c r="H19">
        <f t="shared" si="2"/>
        <v>17.243811008425194</v>
      </c>
      <c r="I19">
        <f t="shared" si="2"/>
        <v>7.7682514938945184</v>
      </c>
      <c r="J19">
        <f t="shared" si="2"/>
        <v>6.0535203949077685</v>
      </c>
      <c r="K19">
        <f t="shared" si="2"/>
        <v>5.2963664031473856</v>
      </c>
      <c r="L19">
        <f t="shared" si="2"/>
        <v>5.9867126897524408</v>
      </c>
      <c r="M19" s="2">
        <v>1</v>
      </c>
    </row>
    <row r="20" spans="1:13" x14ac:dyDescent="0.35">
      <c r="A20">
        <f t="shared" ref="A20:L20" si="3">100*(A4-MIN($A$1:$L$15))/(MAX($A$1:$L$15)-MIN($A$1:$L$15))</f>
        <v>95.883903054596743</v>
      </c>
      <c r="B20">
        <f t="shared" si="3"/>
        <v>96.811787848420735</v>
      </c>
      <c r="C20">
        <f t="shared" si="3"/>
        <v>90.465055858664584</v>
      </c>
      <c r="D20">
        <f t="shared" si="3"/>
        <v>84.496900864788628</v>
      </c>
      <c r="E20">
        <f t="shared" si="3"/>
        <v>72.894629402813351</v>
      </c>
      <c r="F20">
        <f t="shared" si="3"/>
        <v>60.639127045985973</v>
      </c>
      <c r="G20">
        <f t="shared" si="3"/>
        <v>31.195486768362841</v>
      </c>
      <c r="H20">
        <f t="shared" si="3"/>
        <v>16.189733882641132</v>
      </c>
      <c r="I20">
        <f t="shared" si="3"/>
        <v>6.7178859072857513</v>
      </c>
      <c r="J20">
        <f t="shared" si="3"/>
        <v>1.7221541773373419</v>
      </c>
      <c r="K20">
        <f t="shared" si="3"/>
        <v>8.1060015588464545</v>
      </c>
      <c r="L20">
        <f t="shared" si="3"/>
        <v>7.9352707567828382</v>
      </c>
      <c r="M20" s="2">
        <v>2</v>
      </c>
    </row>
    <row r="21" spans="1:13" x14ac:dyDescent="0.35">
      <c r="A21">
        <f t="shared" ref="A21:L21" si="4">100*(A5-MIN($A$1:$L$15))/(MAX($A$1:$L$15)-MIN($A$1:$L$15))</f>
        <v>98.203615039156745</v>
      </c>
      <c r="B21">
        <f t="shared" si="4"/>
        <v>92.936940949411721</v>
      </c>
      <c r="C21">
        <f t="shared" si="4"/>
        <v>91.77894072671937</v>
      </c>
      <c r="D21">
        <f t="shared" si="4"/>
        <v>84.366996993653274</v>
      </c>
      <c r="E21">
        <f t="shared" si="4"/>
        <v>73.967264224473894</v>
      </c>
      <c r="F21">
        <f t="shared" si="4"/>
        <v>55.405856808818619</v>
      </c>
      <c r="G21">
        <f t="shared" si="4"/>
        <v>36.027910774598226</v>
      </c>
      <c r="H21">
        <f t="shared" si="4"/>
        <v>12.014252310433136</v>
      </c>
      <c r="I21">
        <f t="shared" si="4"/>
        <v>8.3212708310136208</v>
      </c>
      <c r="J21">
        <f t="shared" si="4"/>
        <v>2.6834428237390044</v>
      </c>
      <c r="K21">
        <f t="shared" si="4"/>
        <v>5.8568088186170808</v>
      </c>
      <c r="L21">
        <f t="shared" si="4"/>
        <v>4.6394239691199939</v>
      </c>
      <c r="M21" s="2">
        <v>2</v>
      </c>
    </row>
    <row r="22" spans="1:13" x14ac:dyDescent="0.35">
      <c r="A22">
        <f t="shared" ref="A22:L22" si="5">100*(A6-MIN($A$1:$L$15))/(MAX($A$1:$L$15)-MIN($A$1:$L$15))</f>
        <v>98.559922799985159</v>
      </c>
      <c r="B22">
        <f t="shared" si="5"/>
        <v>97.104999443269122</v>
      </c>
      <c r="C22">
        <f t="shared" si="5"/>
        <v>92.896114018483459</v>
      </c>
      <c r="D22">
        <f t="shared" si="5"/>
        <v>79.541996065768473</v>
      </c>
      <c r="E22">
        <f t="shared" si="5"/>
        <v>72.764725531677982</v>
      </c>
      <c r="F22">
        <f t="shared" si="5"/>
        <v>57.614222618119733</v>
      </c>
      <c r="G22">
        <f t="shared" si="5"/>
        <v>36.881564784916307</v>
      </c>
      <c r="H22">
        <f t="shared" si="5"/>
        <v>15.40288757747838</v>
      </c>
      <c r="I22">
        <f t="shared" si="5"/>
        <v>6.8366551608952228</v>
      </c>
      <c r="J22">
        <f t="shared" si="5"/>
        <v>0</v>
      </c>
      <c r="K22">
        <f t="shared" si="5"/>
        <v>6.6622128196563111</v>
      </c>
      <c r="L22">
        <f t="shared" si="5"/>
        <v>7.1744052258471589</v>
      </c>
      <c r="M22" s="2">
        <v>2</v>
      </c>
    </row>
    <row r="23" spans="1:13" x14ac:dyDescent="0.35">
      <c r="A23">
        <f t="shared" ref="A23:L23" si="6">100*(A7-MIN($A$1:$L$15))/(MAX($A$1:$L$15)-MIN($A$1:$L$15))</f>
        <v>100</v>
      </c>
      <c r="B23">
        <f t="shared" si="6"/>
        <v>98.166499647403782</v>
      </c>
      <c r="C23">
        <f t="shared" si="6"/>
        <v>87.874401514307976</v>
      </c>
      <c r="D23">
        <f t="shared" si="6"/>
        <v>85.254054856549004</v>
      </c>
      <c r="E23">
        <f t="shared" si="6"/>
        <v>72.24139850796125</v>
      </c>
      <c r="F23">
        <f t="shared" si="6"/>
        <v>55.93289537171065</v>
      </c>
      <c r="G23">
        <f t="shared" si="6"/>
        <v>29.707159559069147</v>
      </c>
      <c r="H23">
        <f t="shared" si="6"/>
        <v>11.48350220836581</v>
      </c>
      <c r="I23">
        <f t="shared" si="6"/>
        <v>3.6670007051924434</v>
      </c>
      <c r="J23">
        <f t="shared" si="6"/>
        <v>7.9501169134840222</v>
      </c>
      <c r="K23">
        <f t="shared" si="6"/>
        <v>9.6500018557695881</v>
      </c>
      <c r="L23">
        <f t="shared" si="6"/>
        <v>7.9723861485357981</v>
      </c>
      <c r="M23" s="2">
        <v>3</v>
      </c>
    </row>
    <row r="24" spans="1:13" x14ac:dyDescent="0.35">
      <c r="A24">
        <f t="shared" ref="A24:L24" si="7">100*(A8-MIN($A$1:$L$15))/(MAX($A$1:$L$15)-MIN($A$1:$L$15))</f>
        <v>94.269383513342987</v>
      </c>
      <c r="B24">
        <f t="shared" si="7"/>
        <v>98.979326726793602</v>
      </c>
      <c r="C24">
        <f t="shared" si="7"/>
        <v>88.575882418438923</v>
      </c>
      <c r="D24">
        <f t="shared" si="7"/>
        <v>82.366477378168724</v>
      </c>
      <c r="E24">
        <f t="shared" si="7"/>
        <v>76.687822439965856</v>
      </c>
      <c r="F24">
        <f t="shared" si="7"/>
        <v>51.683183015996732</v>
      </c>
      <c r="G24">
        <f t="shared" si="7"/>
        <v>27.235274468322014</v>
      </c>
      <c r="H24">
        <f t="shared" si="7"/>
        <v>9.809598040307316</v>
      </c>
      <c r="I24">
        <f t="shared" si="7"/>
        <v>3.6001930000371152</v>
      </c>
      <c r="J24">
        <f t="shared" si="7"/>
        <v>2.6203466577589727</v>
      </c>
      <c r="K24">
        <f t="shared" si="7"/>
        <v>8.6367516609137809</v>
      </c>
      <c r="L24">
        <f t="shared" si="7"/>
        <v>4.7767509186059458</v>
      </c>
      <c r="M24" s="2">
        <v>3</v>
      </c>
    </row>
    <row r="25" spans="1:13" x14ac:dyDescent="0.35">
      <c r="A25">
        <f t="shared" ref="A25:L25" si="8">100*(A9-MIN($A$1:$L$15))/(MAX($A$1:$L$15)-MIN($A$1:$L$15))</f>
        <v>91.340979104034446</v>
      </c>
      <c r="B25">
        <f t="shared" si="8"/>
        <v>87.362209108117142</v>
      </c>
      <c r="C25">
        <f t="shared" si="8"/>
        <v>86.189362728723609</v>
      </c>
      <c r="D25">
        <f t="shared" si="8"/>
        <v>83.468804513231632</v>
      </c>
      <c r="E25">
        <f t="shared" si="8"/>
        <v>72.000148461567008</v>
      </c>
      <c r="F25">
        <f t="shared" si="8"/>
        <v>55.394722191292729</v>
      </c>
      <c r="G25">
        <f t="shared" si="8"/>
        <v>32.449987009612883</v>
      </c>
      <c r="H25">
        <f t="shared" si="8"/>
        <v>14.564079723861486</v>
      </c>
      <c r="I25">
        <f t="shared" si="8"/>
        <v>4.7581932227294663</v>
      </c>
      <c r="J25">
        <f t="shared" si="8"/>
        <v>5.0625394351037372</v>
      </c>
      <c r="K25">
        <f t="shared" si="8"/>
        <v>5.3705971866533053</v>
      </c>
      <c r="L25">
        <f t="shared" si="8"/>
        <v>9.909809598040308</v>
      </c>
      <c r="M25" s="2">
        <v>3</v>
      </c>
    </row>
    <row r="26" spans="1:13" x14ac:dyDescent="0.35">
      <c r="A26">
        <f t="shared" ref="A26:L26" si="9">100*(A10-MIN($A$1:$L$15))/(MAX($A$1:$L$15)-MIN($A$1:$L$15))</f>
        <v>92.279998515384335</v>
      </c>
      <c r="B26">
        <f t="shared" si="9"/>
        <v>90.160709646290314</v>
      </c>
      <c r="C26">
        <f t="shared" si="9"/>
        <v>84.59340088334632</v>
      </c>
      <c r="D26">
        <f t="shared" si="9"/>
        <v>79.597669153397916</v>
      </c>
      <c r="E26">
        <f t="shared" si="9"/>
        <v>59.651857625357238</v>
      </c>
      <c r="F26">
        <f t="shared" si="9"/>
        <v>51.794529191255613</v>
      </c>
      <c r="G26">
        <f t="shared" si="9"/>
        <v>22.792562075492707</v>
      </c>
      <c r="H26">
        <f t="shared" si="9"/>
        <v>10.021155773299187</v>
      </c>
      <c r="I26">
        <f t="shared" si="9"/>
        <v>2.0561927031139815</v>
      </c>
      <c r="J26">
        <f t="shared" si="9"/>
        <v>6.6659243588316075</v>
      </c>
      <c r="K26">
        <f t="shared" si="9"/>
        <v>2.2232119660023013</v>
      </c>
      <c r="L26">
        <f t="shared" si="9"/>
        <v>7.864751512452214</v>
      </c>
      <c r="M26" s="2">
        <v>4</v>
      </c>
    </row>
    <row r="27" spans="1:13" x14ac:dyDescent="0.35">
      <c r="A27">
        <f t="shared" ref="A27:L27" si="10">100*(A11-MIN($A$1:$L$15))/(MAX($A$1:$L$15)-MIN($A$1:$L$15))</f>
        <v>87.061574434918157</v>
      </c>
      <c r="B27">
        <f t="shared" si="10"/>
        <v>88.312363136992914</v>
      </c>
      <c r="C27">
        <f t="shared" si="10"/>
        <v>81.141669450321046</v>
      </c>
      <c r="D27">
        <f t="shared" si="10"/>
        <v>79.671899936903827</v>
      </c>
      <c r="E27">
        <f t="shared" si="10"/>
        <v>71.617859926511528</v>
      </c>
      <c r="F27">
        <f t="shared" si="10"/>
        <v>56.853357087184058</v>
      </c>
      <c r="G27">
        <f t="shared" si="10"/>
        <v>25.565081839438815</v>
      </c>
      <c r="H27">
        <f t="shared" si="10"/>
        <v>11.82496381249304</v>
      </c>
      <c r="I27">
        <f t="shared" si="10"/>
        <v>3.5259622165311955</v>
      </c>
      <c r="J27">
        <f t="shared" si="10"/>
        <v>2.5535389526036449</v>
      </c>
      <c r="K27">
        <f t="shared" si="10"/>
        <v>11.531752217644657</v>
      </c>
      <c r="L27">
        <f t="shared" si="10"/>
        <v>3.2067698474557398</v>
      </c>
      <c r="M27" s="2">
        <v>4</v>
      </c>
    </row>
    <row r="28" spans="1:13" x14ac:dyDescent="0.35">
      <c r="A28">
        <f t="shared" ref="A28:L28" si="11">100*(A12-MIN($A$1:$L$15))/(MAX($A$1:$L$15)-MIN($A$1:$L$15))</f>
        <v>89.526036447314695</v>
      </c>
      <c r="B28">
        <f t="shared" si="11"/>
        <v>87.284266785435918</v>
      </c>
      <c r="C28">
        <f t="shared" si="11"/>
        <v>84.392977767880339</v>
      </c>
      <c r="D28">
        <f t="shared" si="11"/>
        <v>75.2514567791263</v>
      </c>
      <c r="E28">
        <f t="shared" si="11"/>
        <v>72.534610102809637</v>
      </c>
      <c r="F28">
        <f t="shared" si="11"/>
        <v>56.586126266562744</v>
      </c>
      <c r="G28">
        <f t="shared" si="11"/>
        <v>27.380024496158558</v>
      </c>
      <c r="H28">
        <f t="shared" si="11"/>
        <v>9.701963404223731</v>
      </c>
      <c r="I28">
        <f t="shared" si="11"/>
        <v>5.6266933897487288</v>
      </c>
      <c r="J28">
        <f t="shared" si="11"/>
        <v>7.5084437516237985</v>
      </c>
      <c r="K28">
        <f t="shared" si="11"/>
        <v>9.0747132835987081</v>
      </c>
      <c r="L28">
        <f t="shared" si="11"/>
        <v>1.0874809783617265</v>
      </c>
      <c r="M28" s="2">
        <v>4</v>
      </c>
    </row>
    <row r="29" spans="1:13" x14ac:dyDescent="0.35">
      <c r="A29">
        <f t="shared" ref="A29:L29" si="12">100*(A13-MIN($A$1:$L$15))/(MAX($A$1:$L$15)-MIN($A$1:$L$15))</f>
        <v>88.442267008128269</v>
      </c>
      <c r="B29">
        <f t="shared" si="12"/>
        <v>89.474074898860565</v>
      </c>
      <c r="C29">
        <f t="shared" si="12"/>
        <v>81.082284823516318</v>
      </c>
      <c r="D29">
        <f t="shared" si="12"/>
        <v>76.175630033775008</v>
      </c>
      <c r="E29">
        <f t="shared" si="12"/>
        <v>66.455108933674794</v>
      </c>
      <c r="F29">
        <f t="shared" si="12"/>
        <v>48.494970864417475</v>
      </c>
      <c r="G29">
        <f t="shared" si="12"/>
        <v>27.164755223991389</v>
      </c>
      <c r="H29">
        <f t="shared" si="12"/>
        <v>10.225290427940466</v>
      </c>
      <c r="I29">
        <f t="shared" si="12"/>
        <v>3.0545967412686039</v>
      </c>
      <c r="J29">
        <f t="shared" si="12"/>
        <v>7.6903091712133023</v>
      </c>
      <c r="K29">
        <f t="shared" si="12"/>
        <v>5.8196934268641209</v>
      </c>
      <c r="L29">
        <f t="shared" si="12"/>
        <v>8.6998478268938122</v>
      </c>
      <c r="M29" s="2">
        <v>5</v>
      </c>
    </row>
    <row r="30" spans="1:13" x14ac:dyDescent="0.35">
      <c r="A30">
        <f t="shared" ref="A30:L30" si="13">100*(A14-MIN($A$1:$L$15))/(MAX($A$1:$L$15)-MIN($A$1:$L$15))</f>
        <v>88.53876702668596</v>
      </c>
      <c r="B30">
        <f t="shared" si="13"/>
        <v>88.371747763797643</v>
      </c>
      <c r="C30">
        <f t="shared" si="13"/>
        <v>80.985784804958612</v>
      </c>
      <c r="D30">
        <f t="shared" si="13"/>
        <v>78.435957391530266</v>
      </c>
      <c r="E30">
        <f t="shared" si="13"/>
        <v>69.617340311026979</v>
      </c>
      <c r="F30">
        <f t="shared" si="13"/>
        <v>43.729354563337417</v>
      </c>
      <c r="G30">
        <f t="shared" si="13"/>
        <v>22.577292803325538</v>
      </c>
      <c r="H30">
        <f t="shared" si="13"/>
        <v>5.9718665330512559</v>
      </c>
      <c r="I30">
        <f t="shared" si="13"/>
        <v>5.4114241175815607</v>
      </c>
      <c r="J30">
        <f t="shared" si="13"/>
        <v>1.6627695505326059</v>
      </c>
      <c r="K30">
        <f t="shared" si="13"/>
        <v>2.4570389340459489</v>
      </c>
      <c r="L30">
        <f t="shared" si="13"/>
        <v>10.871098244441971</v>
      </c>
      <c r="M30" s="2">
        <v>5</v>
      </c>
    </row>
    <row r="31" spans="1:13" x14ac:dyDescent="0.35">
      <c r="A31">
        <f t="shared" ref="A31:L31" si="14">100*(A15-MIN($A$1:$L$15))/(MAX($A$1:$L$15)-MIN($A$1:$L$15))</f>
        <v>87.881824592658575</v>
      </c>
      <c r="B31">
        <f t="shared" si="14"/>
        <v>87.202612923579409</v>
      </c>
      <c r="C31">
        <f t="shared" si="14"/>
        <v>80.796496307018515</v>
      </c>
      <c r="D31">
        <f t="shared" si="14"/>
        <v>75.730245332739486</v>
      </c>
      <c r="E31">
        <f t="shared" si="14"/>
        <v>63.645473777975724</v>
      </c>
      <c r="F31">
        <f t="shared" si="14"/>
        <v>44.171027725197639</v>
      </c>
      <c r="G31">
        <f t="shared" si="14"/>
        <v>20.784619381657574</v>
      </c>
      <c r="H31">
        <f t="shared" si="14"/>
        <v>5.7120587907805369</v>
      </c>
      <c r="I31">
        <f t="shared" si="14"/>
        <v>8.5662324165831567</v>
      </c>
      <c r="J31">
        <f t="shared" si="14"/>
        <v>3.7300968711724751</v>
      </c>
      <c r="K31">
        <f t="shared" si="14"/>
        <v>3.4925583639535316</v>
      </c>
      <c r="L31">
        <f t="shared" si="14"/>
        <v>4.0641353969491147</v>
      </c>
      <c r="M31" s="2">
        <v>5</v>
      </c>
    </row>
    <row r="32" spans="1:13" x14ac:dyDescent="0.35">
      <c r="A32" t="s">
        <v>6</v>
      </c>
      <c r="M32" s="2"/>
    </row>
    <row r="33" spans="1:15" x14ac:dyDescent="0.35">
      <c r="A33" s="6">
        <f>AVERAGE(A17:A19)</f>
        <v>93.19427433223224</v>
      </c>
      <c r="B33" s="6">
        <f t="shared" ref="B33:L33" si="15">AVERAGE(B17:B19)</f>
        <v>94.45990919100818</v>
      </c>
      <c r="C33" s="6">
        <f t="shared" si="15"/>
        <v>84.603298321147122</v>
      </c>
      <c r="D33" s="6">
        <f t="shared" si="15"/>
        <v>80.025733338282052</v>
      </c>
      <c r="E33" s="6">
        <f t="shared" si="15"/>
        <v>71.261552165683099</v>
      </c>
      <c r="F33" s="6">
        <f t="shared" si="15"/>
        <v>52.995830704326416</v>
      </c>
      <c r="G33" s="6">
        <f t="shared" si="15"/>
        <v>29.808608296527236</v>
      </c>
      <c r="H33" s="6">
        <f t="shared" si="15"/>
        <v>13.487733363025646</v>
      </c>
      <c r="I33" s="6">
        <f t="shared" si="15"/>
        <v>6.9034628660505506</v>
      </c>
      <c r="J33" s="6">
        <f t="shared" si="15"/>
        <v>6.0658921921587554</v>
      </c>
      <c r="K33" s="6">
        <f t="shared" si="15"/>
        <v>5.2889433247967936</v>
      </c>
      <c r="L33" s="6">
        <f t="shared" si="15"/>
        <v>3.8253597100050727</v>
      </c>
      <c r="M33" s="2">
        <v>1</v>
      </c>
      <c r="N33" s="4" t="s">
        <v>3</v>
      </c>
    </row>
    <row r="34" spans="1:15" x14ac:dyDescent="0.35">
      <c r="A34" s="6">
        <f>STDEV(A17:A19)</f>
        <v>1.7267647656704377</v>
      </c>
      <c r="B34" s="6">
        <f t="shared" ref="B34:L34" si="16">STDEV(B17:B19)</f>
        <v>2.676692302276384</v>
      </c>
      <c r="C34" s="6">
        <f t="shared" si="16"/>
        <v>3.4390116057393736</v>
      </c>
      <c r="D34" s="6">
        <f t="shared" si="16"/>
        <v>2.0443686514533153</v>
      </c>
      <c r="E34" s="6">
        <f t="shared" si="16"/>
        <v>2.8627951215026393</v>
      </c>
      <c r="F34" s="6">
        <f t="shared" si="16"/>
        <v>3.0972774032911827</v>
      </c>
      <c r="G34" s="6">
        <f t="shared" si="16"/>
        <v>2.0115115642376278</v>
      </c>
      <c r="H34" s="6">
        <f t="shared" si="16"/>
        <v>3.2723148808036995</v>
      </c>
      <c r="I34" s="6">
        <f t="shared" si="16"/>
        <v>2.9238802692921726</v>
      </c>
      <c r="J34" s="6">
        <f t="shared" si="16"/>
        <v>1.9448760405062993</v>
      </c>
      <c r="K34" s="6">
        <f t="shared" si="16"/>
        <v>0.83140962895178661</v>
      </c>
      <c r="L34" s="6">
        <f t="shared" si="16"/>
        <v>1.8997510035914764</v>
      </c>
      <c r="M34" s="2">
        <v>1</v>
      </c>
      <c r="N34" s="5" t="s">
        <v>4</v>
      </c>
    </row>
    <row r="35" spans="1:15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2">
        <v>1</v>
      </c>
    </row>
    <row r="36" spans="1:15" x14ac:dyDescent="0.35">
      <c r="A36" s="6">
        <f>AVERAGE(A20:A22)</f>
        <v>97.549146964579549</v>
      </c>
      <c r="B36" s="6">
        <f t="shared" ref="B36:L36" si="17">AVERAGE(B20:B22)</f>
        <v>95.617909413700531</v>
      </c>
      <c r="C36" s="6">
        <f t="shared" si="17"/>
        <v>91.713370201289138</v>
      </c>
      <c r="D36" s="6">
        <f t="shared" si="17"/>
        <v>82.801964641403458</v>
      </c>
      <c r="E36" s="6">
        <f t="shared" si="17"/>
        <v>73.208873052988409</v>
      </c>
      <c r="F36" s="6">
        <f t="shared" si="17"/>
        <v>57.886402157641442</v>
      </c>
      <c r="G36" s="6">
        <f t="shared" si="17"/>
        <v>34.701654109292456</v>
      </c>
      <c r="H36" s="6">
        <f t="shared" si="17"/>
        <v>14.535624590184215</v>
      </c>
      <c r="I36" s="6">
        <f t="shared" si="17"/>
        <v>7.2919372997315319</v>
      </c>
      <c r="J36" s="6">
        <f t="shared" si="17"/>
        <v>1.4685323336921154</v>
      </c>
      <c r="K36" s="6">
        <f t="shared" si="17"/>
        <v>6.8750077323732812</v>
      </c>
      <c r="L36" s="6">
        <f t="shared" si="17"/>
        <v>6.5830333172499964</v>
      </c>
      <c r="M36" s="2">
        <v>2</v>
      </c>
      <c r="N36" s="4" t="s">
        <v>3</v>
      </c>
    </row>
    <row r="37" spans="1:15" x14ac:dyDescent="0.35">
      <c r="A37" s="6">
        <f>STDEV(A20:A22)</f>
        <v>1.4531059028535245</v>
      </c>
      <c r="B37" s="6">
        <f t="shared" ref="B37:L37" si="18">STDEV(B20:B22)</f>
        <v>2.3264107955650677</v>
      </c>
      <c r="C37" s="6">
        <f t="shared" si="18"/>
        <v>1.2168547836366428</v>
      </c>
      <c r="D37" s="6">
        <f t="shared" si="18"/>
        <v>2.8239626572477348</v>
      </c>
      <c r="E37" s="6">
        <f t="shared" si="18"/>
        <v>0.65998987164526501</v>
      </c>
      <c r="F37" s="6">
        <f t="shared" si="18"/>
        <v>2.6272305989589304</v>
      </c>
      <c r="G37" s="6">
        <f t="shared" si="18"/>
        <v>3.0662824982842225</v>
      </c>
      <c r="H37" s="6">
        <f t="shared" si="18"/>
        <v>2.2187317113184286</v>
      </c>
      <c r="I37" s="6">
        <f t="shared" si="18"/>
        <v>0.8934048202617777</v>
      </c>
      <c r="J37" s="6">
        <f t="shared" si="18"/>
        <v>1.3595805885454502</v>
      </c>
      <c r="K37" s="6">
        <f t="shared" si="18"/>
        <v>1.1395956527794435</v>
      </c>
      <c r="L37" s="6">
        <f t="shared" si="18"/>
        <v>1.7256714816688805</v>
      </c>
      <c r="M37" s="2">
        <v>2</v>
      </c>
      <c r="N37" s="5" t="s">
        <v>4</v>
      </c>
    </row>
    <row r="38" spans="1:15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2">
        <v>2</v>
      </c>
    </row>
    <row r="39" spans="1:15" x14ac:dyDescent="0.35">
      <c r="A39" s="6">
        <f>AVERAGE(A23:A25)</f>
        <v>95.203454205792468</v>
      </c>
      <c r="B39" s="6">
        <f t="shared" ref="B39:L39" si="19">AVERAGE(B23:B25)</f>
        <v>94.836011827438185</v>
      </c>
      <c r="C39" s="6">
        <f t="shared" si="19"/>
        <v>87.546548887156845</v>
      </c>
      <c r="D39" s="6">
        <f t="shared" si="19"/>
        <v>83.696445582649787</v>
      </c>
      <c r="E39" s="6">
        <f t="shared" si="19"/>
        <v>73.643123136498033</v>
      </c>
      <c r="F39" s="6">
        <f t="shared" si="19"/>
        <v>54.336933526333361</v>
      </c>
      <c r="G39" s="6">
        <f t="shared" si="19"/>
        <v>29.797473679001346</v>
      </c>
      <c r="H39" s="6">
        <f t="shared" si="19"/>
        <v>11.952393324178203</v>
      </c>
      <c r="I39" s="6">
        <f t="shared" si="19"/>
        <v>4.0084623093196754</v>
      </c>
      <c r="J39" s="6">
        <f t="shared" si="19"/>
        <v>5.2110010021155775</v>
      </c>
      <c r="K39" s="6">
        <f t="shared" si="19"/>
        <v>7.8857835677788914</v>
      </c>
      <c r="L39" s="6">
        <f t="shared" si="19"/>
        <v>7.5529822217273503</v>
      </c>
      <c r="M39" s="2">
        <v>3</v>
      </c>
      <c r="N39" s="4" t="s">
        <v>3</v>
      </c>
    </row>
    <row r="40" spans="1:15" x14ac:dyDescent="0.35">
      <c r="A40" s="6">
        <f>STDEV(A23:A25)</f>
        <v>4.4044326266911868</v>
      </c>
      <c r="B40" s="6">
        <f t="shared" ref="B40:L40" si="20">STDEV(B23:B25)</f>
        <v>6.4852499782772606</v>
      </c>
      <c r="C40" s="6">
        <f t="shared" si="20"/>
        <v>1.2265743215138445</v>
      </c>
      <c r="D40" s="6">
        <f t="shared" si="20"/>
        <v>1.4571860779518293</v>
      </c>
      <c r="E40" s="6">
        <f t="shared" si="20"/>
        <v>2.6395446165246703</v>
      </c>
      <c r="F40" s="6">
        <f t="shared" si="20"/>
        <v>2.3139147394327781</v>
      </c>
      <c r="G40" s="6">
        <f t="shared" si="20"/>
        <v>2.6085291262066472</v>
      </c>
      <c r="H40" s="6">
        <f t="shared" si="20"/>
        <v>2.4116733150820573</v>
      </c>
      <c r="I40" s="6">
        <f t="shared" si="20"/>
        <v>0.6501447140896679</v>
      </c>
      <c r="J40" s="6">
        <f t="shared" si="20"/>
        <v>2.6679848898302581</v>
      </c>
      <c r="K40" s="6">
        <f t="shared" si="20"/>
        <v>2.2363566102465748</v>
      </c>
      <c r="L40" s="6">
        <f t="shared" si="20"/>
        <v>2.5921029285111126</v>
      </c>
      <c r="M40" s="2">
        <v>3</v>
      </c>
      <c r="N40" s="5" t="s">
        <v>4</v>
      </c>
    </row>
    <row r="41" spans="1:15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2">
        <v>3</v>
      </c>
    </row>
    <row r="42" spans="1:15" x14ac:dyDescent="0.35">
      <c r="A42" s="6">
        <f>AVERAGE(A26:A28)</f>
        <v>89.622536465872386</v>
      </c>
      <c r="B42" s="6">
        <f t="shared" ref="B42:L42" si="21">AVERAGE(B26:B28)</f>
        <v>88.585779856239711</v>
      </c>
      <c r="C42" s="6">
        <f t="shared" si="21"/>
        <v>83.376016033849226</v>
      </c>
      <c r="D42" s="6">
        <f t="shared" si="21"/>
        <v>78.173675289809339</v>
      </c>
      <c r="E42" s="6">
        <f t="shared" si="21"/>
        <v>67.934775884892801</v>
      </c>
      <c r="F42" s="6">
        <f t="shared" si="21"/>
        <v>55.078004181667474</v>
      </c>
      <c r="G42" s="6">
        <f t="shared" si="21"/>
        <v>25.245889470363363</v>
      </c>
      <c r="H42" s="6">
        <f t="shared" si="21"/>
        <v>10.516027663338653</v>
      </c>
      <c r="I42" s="6">
        <f t="shared" si="21"/>
        <v>3.7362827697979686</v>
      </c>
      <c r="J42" s="6">
        <f t="shared" si="21"/>
        <v>5.5759690210196835</v>
      </c>
      <c r="K42" s="6">
        <f t="shared" si="21"/>
        <v>7.6098924890818891</v>
      </c>
      <c r="L42" s="6">
        <f t="shared" si="21"/>
        <v>4.0530007794232272</v>
      </c>
      <c r="M42" s="2">
        <v>4</v>
      </c>
      <c r="N42" s="4" t="s">
        <v>3</v>
      </c>
    </row>
    <row r="43" spans="1:15" x14ac:dyDescent="0.35">
      <c r="A43" s="6">
        <f>STDEV(A26:A28)</f>
        <v>2.6105500686796925</v>
      </c>
      <c r="B43" s="6">
        <f t="shared" ref="B43:L43" si="22">STDEV(B26:B28)</f>
        <v>1.4575830712905593</v>
      </c>
      <c r="C43" s="6">
        <f t="shared" si="22"/>
        <v>1.9375940874693902</v>
      </c>
      <c r="D43" s="6">
        <f t="shared" si="22"/>
        <v>2.530987617598901</v>
      </c>
      <c r="E43" s="6">
        <f t="shared" si="22"/>
        <v>7.1878480014567909</v>
      </c>
      <c r="F43" s="6">
        <f t="shared" si="22"/>
        <v>2.8467102218820242</v>
      </c>
      <c r="G43" s="6">
        <f t="shared" si="22"/>
        <v>2.3103280484840996</v>
      </c>
      <c r="H43" s="6">
        <f t="shared" si="22"/>
        <v>1.1447516429520153</v>
      </c>
      <c r="I43" s="6">
        <f t="shared" si="22"/>
        <v>1.7945179964713738</v>
      </c>
      <c r="J43" s="6">
        <f t="shared" si="22"/>
        <v>2.6511832020169361</v>
      </c>
      <c r="K43" s="6">
        <f t="shared" si="22"/>
        <v>4.8240548684844109</v>
      </c>
      <c r="L43" s="6">
        <f t="shared" si="22"/>
        <v>3.4669769346978216</v>
      </c>
      <c r="M43" s="2">
        <v>4</v>
      </c>
      <c r="N43" s="5" t="s">
        <v>4</v>
      </c>
    </row>
    <row r="44" spans="1:15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2">
        <v>4</v>
      </c>
    </row>
    <row r="45" spans="1:15" x14ac:dyDescent="0.35">
      <c r="A45" s="6">
        <f>AVERAGE(A29:A31)</f>
        <v>88.28761954249093</v>
      </c>
      <c r="B45" s="6">
        <f t="shared" ref="B45:L45" si="23">AVERAGE(B29:B31)</f>
        <v>88.349478528745863</v>
      </c>
      <c r="C45" s="6">
        <f t="shared" si="23"/>
        <v>80.954855311831139</v>
      </c>
      <c r="D45" s="6">
        <f t="shared" si="23"/>
        <v>76.780610919348263</v>
      </c>
      <c r="E45" s="6">
        <f t="shared" si="23"/>
        <v>66.57264100755917</v>
      </c>
      <c r="F45" s="6">
        <f t="shared" si="23"/>
        <v>45.465117717650848</v>
      </c>
      <c r="G45" s="6">
        <f t="shared" si="23"/>
        <v>23.508889136324836</v>
      </c>
      <c r="H45" s="6">
        <f t="shared" si="23"/>
        <v>7.3030719172574194</v>
      </c>
      <c r="I45" s="6">
        <f t="shared" si="23"/>
        <v>5.6774177584777732</v>
      </c>
      <c r="J45" s="6">
        <f t="shared" si="23"/>
        <v>4.3610585309727945</v>
      </c>
      <c r="K45" s="6">
        <f t="shared" si="23"/>
        <v>3.9230969082878673</v>
      </c>
      <c r="L45" s="6">
        <f t="shared" si="23"/>
        <v>7.8783604894282995</v>
      </c>
      <c r="M45" s="2">
        <v>5</v>
      </c>
      <c r="N45" s="4" t="s">
        <v>3</v>
      </c>
    </row>
    <row r="46" spans="1:15" x14ac:dyDescent="0.35">
      <c r="A46" s="6">
        <f>STDEV(A29:A31)</f>
        <v>0.35472555501048175</v>
      </c>
      <c r="B46" s="6">
        <f t="shared" ref="B46:L46" si="24">STDEV(B29:B31)</f>
        <v>1.1358947202137113</v>
      </c>
      <c r="C46" s="6">
        <f t="shared" si="24"/>
        <v>0.14538309461331853</v>
      </c>
      <c r="D46" s="6">
        <f t="shared" si="24"/>
        <v>1.450765604845663</v>
      </c>
      <c r="E46" s="6">
        <f t="shared" si="24"/>
        <v>2.9876676209776205</v>
      </c>
      <c r="F46" s="6">
        <f t="shared" si="24"/>
        <v>2.6332064795047208</v>
      </c>
      <c r="G46" s="6">
        <f t="shared" si="24"/>
        <v>3.2905071246544013</v>
      </c>
      <c r="H46" s="6">
        <f t="shared" si="24"/>
        <v>2.5340473128712375</v>
      </c>
      <c r="I46" s="6">
        <f t="shared" si="24"/>
        <v>2.7654287944363993</v>
      </c>
      <c r="J46" s="6">
        <f t="shared" si="24"/>
        <v>3.0629059619620018</v>
      </c>
      <c r="K46" s="6">
        <f t="shared" si="24"/>
        <v>1.722174174738345</v>
      </c>
      <c r="L46" s="6">
        <f t="shared" si="24"/>
        <v>3.4770413983729225</v>
      </c>
      <c r="M46" s="2">
        <v>5</v>
      </c>
      <c r="N46" s="5" t="s">
        <v>4</v>
      </c>
    </row>
    <row r="47" spans="1:15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2">
        <v>5</v>
      </c>
    </row>
    <row r="48" spans="1:15" x14ac:dyDescent="0.35">
      <c r="O48" s="2"/>
    </row>
    <row r="49" spans="1:15" x14ac:dyDescent="0.35">
      <c r="A49" t="s">
        <v>2</v>
      </c>
      <c r="M49" t="s">
        <v>0</v>
      </c>
      <c r="N49" s="3" t="s">
        <v>1</v>
      </c>
    </row>
    <row r="50" spans="1:15" x14ac:dyDescent="0.35">
      <c r="A50">
        <f t="shared" ref="A50:A64" si="25">(1000000000/3)*M50/$N$50</f>
        <v>12768.06743522995</v>
      </c>
      <c r="B50">
        <f>A50/3</f>
        <v>4256.0224784099837</v>
      </c>
      <c r="C50">
        <f t="shared" ref="C50:L50" si="26">B50/3</f>
        <v>1418.6741594699945</v>
      </c>
      <c r="D50">
        <f t="shared" si="26"/>
        <v>472.89138648999818</v>
      </c>
      <c r="E50">
        <f t="shared" si="26"/>
        <v>157.63046216333274</v>
      </c>
      <c r="F50">
        <f t="shared" si="26"/>
        <v>52.543487387777581</v>
      </c>
      <c r="G50">
        <f t="shared" si="26"/>
        <v>17.51449579592586</v>
      </c>
      <c r="H50">
        <f t="shared" si="26"/>
        <v>5.8381652653086205</v>
      </c>
      <c r="I50">
        <f t="shared" si="26"/>
        <v>1.9460550884362069</v>
      </c>
      <c r="J50">
        <f t="shared" si="26"/>
        <v>0.64868502947873563</v>
      </c>
      <c r="K50">
        <f t="shared" si="26"/>
        <v>0.21622834315957853</v>
      </c>
      <c r="L50">
        <f t="shared" si="26"/>
        <v>7.2076114386526183E-2</v>
      </c>
      <c r="M50" s="2">
        <v>10.3</v>
      </c>
      <c r="N50" s="3">
        <v>268900</v>
      </c>
      <c r="O50" s="8" t="s">
        <v>8</v>
      </c>
    </row>
    <row r="51" spans="1:15" x14ac:dyDescent="0.35">
      <c r="A51">
        <f t="shared" si="25"/>
        <v>12768.06743522995</v>
      </c>
      <c r="B51">
        <f t="shared" ref="B51:L51" si="27">A51/3</f>
        <v>4256.0224784099837</v>
      </c>
      <c r="C51">
        <f t="shared" si="27"/>
        <v>1418.6741594699945</v>
      </c>
      <c r="D51">
        <f t="shared" si="27"/>
        <v>472.89138648999818</v>
      </c>
      <c r="E51">
        <f t="shared" si="27"/>
        <v>157.63046216333274</v>
      </c>
      <c r="F51">
        <f t="shared" si="27"/>
        <v>52.543487387777581</v>
      </c>
      <c r="G51">
        <f t="shared" si="27"/>
        <v>17.51449579592586</v>
      </c>
      <c r="H51">
        <f t="shared" si="27"/>
        <v>5.8381652653086205</v>
      </c>
      <c r="I51">
        <f t="shared" si="27"/>
        <v>1.9460550884362069</v>
      </c>
      <c r="J51">
        <f t="shared" si="27"/>
        <v>0.64868502947873563</v>
      </c>
      <c r="K51">
        <f t="shared" si="27"/>
        <v>0.21622834315957853</v>
      </c>
      <c r="L51">
        <f t="shared" si="27"/>
        <v>7.2076114386526183E-2</v>
      </c>
      <c r="M51" s="2">
        <f>M50</f>
        <v>10.3</v>
      </c>
      <c r="N51" s="2"/>
      <c r="O51" s="8"/>
    </row>
    <row r="52" spans="1:15" x14ac:dyDescent="0.35">
      <c r="A52">
        <f t="shared" si="25"/>
        <v>12768.06743522995</v>
      </c>
      <c r="B52">
        <f t="shared" ref="B52:L52" si="28">A52/3</f>
        <v>4256.0224784099837</v>
      </c>
      <c r="C52">
        <f t="shared" si="28"/>
        <v>1418.6741594699945</v>
      </c>
      <c r="D52">
        <f t="shared" si="28"/>
        <v>472.89138648999818</v>
      </c>
      <c r="E52">
        <f t="shared" si="28"/>
        <v>157.63046216333274</v>
      </c>
      <c r="F52">
        <f t="shared" si="28"/>
        <v>52.543487387777581</v>
      </c>
      <c r="G52">
        <f t="shared" si="28"/>
        <v>17.51449579592586</v>
      </c>
      <c r="H52">
        <f t="shared" si="28"/>
        <v>5.8381652653086205</v>
      </c>
      <c r="I52">
        <f t="shared" si="28"/>
        <v>1.9460550884362069</v>
      </c>
      <c r="J52">
        <f t="shared" si="28"/>
        <v>0.64868502947873563</v>
      </c>
      <c r="K52">
        <f t="shared" si="28"/>
        <v>0.21622834315957853</v>
      </c>
      <c r="L52">
        <f t="shared" si="28"/>
        <v>7.2076114386526183E-2</v>
      </c>
      <c r="M52" s="2">
        <f>M50</f>
        <v>10.3</v>
      </c>
      <c r="N52" s="2"/>
      <c r="O52" s="8"/>
    </row>
    <row r="53" spans="1:15" x14ac:dyDescent="0.35">
      <c r="A53">
        <f t="shared" si="25"/>
        <v>13511.838353787032</v>
      </c>
      <c r="B53">
        <f t="shared" ref="B53:L53" si="29">A53/3</f>
        <v>4503.9461179290111</v>
      </c>
      <c r="C53">
        <f t="shared" si="29"/>
        <v>1501.3153726430037</v>
      </c>
      <c r="D53">
        <f t="shared" si="29"/>
        <v>500.43845754766789</v>
      </c>
      <c r="E53">
        <f t="shared" si="29"/>
        <v>166.81281918255596</v>
      </c>
      <c r="F53">
        <f t="shared" si="29"/>
        <v>55.604273060851988</v>
      </c>
      <c r="G53">
        <f t="shared" si="29"/>
        <v>18.534757686950663</v>
      </c>
      <c r="H53">
        <f t="shared" si="29"/>
        <v>6.1782525623168878</v>
      </c>
      <c r="I53">
        <f t="shared" si="29"/>
        <v>2.0594175207722958</v>
      </c>
      <c r="J53">
        <f t="shared" si="29"/>
        <v>0.68647250692409856</v>
      </c>
      <c r="K53">
        <f t="shared" si="29"/>
        <v>0.22882416897469951</v>
      </c>
      <c r="L53">
        <f t="shared" si="29"/>
        <v>7.6274722991566499E-2</v>
      </c>
      <c r="M53" s="2">
        <v>10.9</v>
      </c>
      <c r="N53" s="2"/>
      <c r="O53" s="8"/>
    </row>
    <row r="54" spans="1:15" x14ac:dyDescent="0.35">
      <c r="A54">
        <f t="shared" si="25"/>
        <v>13511.838353787032</v>
      </c>
      <c r="B54">
        <f t="shared" ref="B54:L54" si="30">A54/3</f>
        <v>4503.9461179290111</v>
      </c>
      <c r="C54">
        <f t="shared" si="30"/>
        <v>1501.3153726430037</v>
      </c>
      <c r="D54">
        <f t="shared" si="30"/>
        <v>500.43845754766789</v>
      </c>
      <c r="E54">
        <f t="shared" si="30"/>
        <v>166.81281918255596</v>
      </c>
      <c r="F54">
        <f t="shared" si="30"/>
        <v>55.604273060851988</v>
      </c>
      <c r="G54">
        <f t="shared" si="30"/>
        <v>18.534757686950663</v>
      </c>
      <c r="H54">
        <f t="shared" si="30"/>
        <v>6.1782525623168878</v>
      </c>
      <c r="I54">
        <f t="shared" si="30"/>
        <v>2.0594175207722958</v>
      </c>
      <c r="J54">
        <f t="shared" si="30"/>
        <v>0.68647250692409856</v>
      </c>
      <c r="K54">
        <f t="shared" si="30"/>
        <v>0.22882416897469951</v>
      </c>
      <c r="L54">
        <f t="shared" si="30"/>
        <v>7.6274722991566499E-2</v>
      </c>
      <c r="M54" s="2">
        <f>M53</f>
        <v>10.9</v>
      </c>
      <c r="N54" s="2"/>
      <c r="O54" s="8"/>
    </row>
    <row r="55" spans="1:15" x14ac:dyDescent="0.35">
      <c r="A55">
        <f t="shared" si="25"/>
        <v>13511.838353787032</v>
      </c>
      <c r="B55">
        <f t="shared" ref="B55:L55" si="31">A55/3</f>
        <v>4503.9461179290111</v>
      </c>
      <c r="C55">
        <f t="shared" si="31"/>
        <v>1501.3153726430037</v>
      </c>
      <c r="D55">
        <f t="shared" si="31"/>
        <v>500.43845754766789</v>
      </c>
      <c r="E55">
        <f t="shared" si="31"/>
        <v>166.81281918255596</v>
      </c>
      <c r="F55">
        <f t="shared" si="31"/>
        <v>55.604273060851988</v>
      </c>
      <c r="G55">
        <f t="shared" si="31"/>
        <v>18.534757686950663</v>
      </c>
      <c r="H55">
        <f t="shared" si="31"/>
        <v>6.1782525623168878</v>
      </c>
      <c r="I55">
        <f t="shared" si="31"/>
        <v>2.0594175207722958</v>
      </c>
      <c r="J55">
        <f t="shared" si="31"/>
        <v>0.68647250692409856</v>
      </c>
      <c r="K55">
        <f t="shared" si="31"/>
        <v>0.22882416897469951</v>
      </c>
      <c r="L55">
        <f t="shared" si="31"/>
        <v>7.6274722991566499E-2</v>
      </c>
      <c r="M55" s="2">
        <f>M53</f>
        <v>10.9</v>
      </c>
      <c r="N55" s="2"/>
      <c r="O55" s="8"/>
    </row>
    <row r="56" spans="1:15" x14ac:dyDescent="0.35">
      <c r="A56">
        <f t="shared" si="25"/>
        <v>13759.76199330606</v>
      </c>
      <c r="B56">
        <f t="shared" ref="B56:L56" si="32">A56/3</f>
        <v>4586.5873311020196</v>
      </c>
      <c r="C56">
        <f t="shared" si="32"/>
        <v>1528.8624437006731</v>
      </c>
      <c r="D56">
        <f t="shared" si="32"/>
        <v>509.62081456689106</v>
      </c>
      <c r="E56">
        <f t="shared" si="32"/>
        <v>169.87360485563036</v>
      </c>
      <c r="F56">
        <f t="shared" si="32"/>
        <v>56.62453495187679</v>
      </c>
      <c r="G56">
        <f t="shared" si="32"/>
        <v>18.87484498395893</v>
      </c>
      <c r="H56">
        <f t="shared" si="32"/>
        <v>6.2916149946529769</v>
      </c>
      <c r="I56">
        <f t="shared" si="32"/>
        <v>2.0972049982176588</v>
      </c>
      <c r="J56">
        <f t="shared" si="32"/>
        <v>0.69906833273921964</v>
      </c>
      <c r="K56">
        <f t="shared" si="32"/>
        <v>0.23302277757973988</v>
      </c>
      <c r="L56">
        <f t="shared" si="32"/>
        <v>7.7674259193246623E-2</v>
      </c>
      <c r="M56" s="2">
        <v>11.1</v>
      </c>
      <c r="N56" s="2"/>
      <c r="O56" s="8"/>
    </row>
    <row r="57" spans="1:15" x14ac:dyDescent="0.35">
      <c r="A57">
        <f t="shared" si="25"/>
        <v>13759.76199330606</v>
      </c>
      <c r="B57">
        <f t="shared" ref="B57:L57" si="33">A57/3</f>
        <v>4586.5873311020196</v>
      </c>
      <c r="C57">
        <f t="shared" si="33"/>
        <v>1528.8624437006731</v>
      </c>
      <c r="D57">
        <f t="shared" si="33"/>
        <v>509.62081456689106</v>
      </c>
      <c r="E57">
        <f t="shared" si="33"/>
        <v>169.87360485563036</v>
      </c>
      <c r="F57">
        <f t="shared" si="33"/>
        <v>56.62453495187679</v>
      </c>
      <c r="G57">
        <f t="shared" si="33"/>
        <v>18.87484498395893</v>
      </c>
      <c r="H57">
        <f t="shared" si="33"/>
        <v>6.2916149946529769</v>
      </c>
      <c r="I57">
        <f t="shared" si="33"/>
        <v>2.0972049982176588</v>
      </c>
      <c r="J57">
        <f t="shared" si="33"/>
        <v>0.69906833273921964</v>
      </c>
      <c r="K57">
        <f t="shared" si="33"/>
        <v>0.23302277757973988</v>
      </c>
      <c r="L57">
        <f t="shared" si="33"/>
        <v>7.7674259193246623E-2</v>
      </c>
      <c r="M57" s="2">
        <f>M56</f>
        <v>11.1</v>
      </c>
      <c r="N57" s="2"/>
      <c r="O57" s="8"/>
    </row>
    <row r="58" spans="1:15" x14ac:dyDescent="0.35">
      <c r="A58">
        <f t="shared" si="25"/>
        <v>13759.76199330606</v>
      </c>
      <c r="B58">
        <f t="shared" ref="B58:L58" si="34">A58/3</f>
        <v>4586.5873311020196</v>
      </c>
      <c r="C58">
        <f t="shared" si="34"/>
        <v>1528.8624437006731</v>
      </c>
      <c r="D58">
        <f t="shared" si="34"/>
        <v>509.62081456689106</v>
      </c>
      <c r="E58">
        <f t="shared" si="34"/>
        <v>169.87360485563036</v>
      </c>
      <c r="F58">
        <f t="shared" si="34"/>
        <v>56.62453495187679</v>
      </c>
      <c r="G58">
        <f t="shared" si="34"/>
        <v>18.87484498395893</v>
      </c>
      <c r="H58">
        <f t="shared" si="34"/>
        <v>6.2916149946529769</v>
      </c>
      <c r="I58">
        <f t="shared" si="34"/>
        <v>2.0972049982176588</v>
      </c>
      <c r="J58">
        <f t="shared" si="34"/>
        <v>0.69906833273921964</v>
      </c>
      <c r="K58">
        <f t="shared" si="34"/>
        <v>0.23302277757973988</v>
      </c>
      <c r="L58">
        <f t="shared" si="34"/>
        <v>7.7674259193246623E-2</v>
      </c>
      <c r="M58" s="2">
        <f>M56</f>
        <v>11.1</v>
      </c>
      <c r="N58" s="2"/>
      <c r="O58" s="8"/>
    </row>
    <row r="59" spans="1:15" x14ac:dyDescent="0.35">
      <c r="A59">
        <f t="shared" si="25"/>
        <v>12768.06743522995</v>
      </c>
      <c r="B59">
        <f t="shared" ref="B59:L59" si="35">A59/3</f>
        <v>4256.0224784099837</v>
      </c>
      <c r="C59">
        <f t="shared" si="35"/>
        <v>1418.6741594699945</v>
      </c>
      <c r="D59">
        <f t="shared" si="35"/>
        <v>472.89138648999818</v>
      </c>
      <c r="E59">
        <f t="shared" si="35"/>
        <v>157.63046216333274</v>
      </c>
      <c r="F59">
        <f t="shared" si="35"/>
        <v>52.543487387777581</v>
      </c>
      <c r="G59">
        <f t="shared" si="35"/>
        <v>17.51449579592586</v>
      </c>
      <c r="H59">
        <f t="shared" si="35"/>
        <v>5.8381652653086205</v>
      </c>
      <c r="I59">
        <f t="shared" si="35"/>
        <v>1.9460550884362069</v>
      </c>
      <c r="J59">
        <f t="shared" si="35"/>
        <v>0.64868502947873563</v>
      </c>
      <c r="K59">
        <f t="shared" si="35"/>
        <v>0.21622834315957853</v>
      </c>
      <c r="L59">
        <f t="shared" si="35"/>
        <v>7.2076114386526183E-2</v>
      </c>
      <c r="M59" s="2">
        <v>10.3</v>
      </c>
      <c r="N59" s="2"/>
      <c r="O59" s="8"/>
    </row>
    <row r="60" spans="1:15" x14ac:dyDescent="0.35">
      <c r="A60">
        <f t="shared" si="25"/>
        <v>12768.06743522995</v>
      </c>
      <c r="B60">
        <f t="shared" ref="B60:L60" si="36">A60/3</f>
        <v>4256.0224784099837</v>
      </c>
      <c r="C60">
        <f t="shared" si="36"/>
        <v>1418.6741594699945</v>
      </c>
      <c r="D60">
        <f t="shared" si="36"/>
        <v>472.89138648999818</v>
      </c>
      <c r="E60">
        <f t="shared" si="36"/>
        <v>157.63046216333274</v>
      </c>
      <c r="F60">
        <f t="shared" si="36"/>
        <v>52.543487387777581</v>
      </c>
      <c r="G60">
        <f t="shared" si="36"/>
        <v>17.51449579592586</v>
      </c>
      <c r="H60">
        <f t="shared" si="36"/>
        <v>5.8381652653086205</v>
      </c>
      <c r="I60">
        <f t="shared" si="36"/>
        <v>1.9460550884362069</v>
      </c>
      <c r="J60">
        <f t="shared" si="36"/>
        <v>0.64868502947873563</v>
      </c>
      <c r="K60">
        <f t="shared" si="36"/>
        <v>0.21622834315957853</v>
      </c>
      <c r="L60">
        <f t="shared" si="36"/>
        <v>7.2076114386526183E-2</v>
      </c>
      <c r="M60" s="2">
        <f>M59</f>
        <v>10.3</v>
      </c>
      <c r="N60" s="2"/>
      <c r="O60" s="8"/>
    </row>
    <row r="61" spans="1:15" x14ac:dyDescent="0.35">
      <c r="A61">
        <f t="shared" si="25"/>
        <v>12768.06743522995</v>
      </c>
      <c r="B61">
        <f t="shared" ref="B61:L61" si="37">A61/3</f>
        <v>4256.0224784099837</v>
      </c>
      <c r="C61">
        <f t="shared" si="37"/>
        <v>1418.6741594699945</v>
      </c>
      <c r="D61">
        <f t="shared" si="37"/>
        <v>472.89138648999818</v>
      </c>
      <c r="E61">
        <f t="shared" si="37"/>
        <v>157.63046216333274</v>
      </c>
      <c r="F61">
        <f t="shared" si="37"/>
        <v>52.543487387777581</v>
      </c>
      <c r="G61">
        <f t="shared" si="37"/>
        <v>17.51449579592586</v>
      </c>
      <c r="H61">
        <f t="shared" si="37"/>
        <v>5.8381652653086205</v>
      </c>
      <c r="I61">
        <f t="shared" si="37"/>
        <v>1.9460550884362069</v>
      </c>
      <c r="J61">
        <f t="shared" si="37"/>
        <v>0.64868502947873563</v>
      </c>
      <c r="K61">
        <f t="shared" si="37"/>
        <v>0.21622834315957853</v>
      </c>
      <c r="L61">
        <f t="shared" si="37"/>
        <v>7.2076114386526183E-2</v>
      </c>
      <c r="M61" s="2">
        <f>M59</f>
        <v>10.3</v>
      </c>
      <c r="N61" s="2"/>
      <c r="O61" s="8"/>
    </row>
    <row r="62" spans="1:15" x14ac:dyDescent="0.35">
      <c r="A62">
        <f t="shared" si="25"/>
        <v>12520.143795710921</v>
      </c>
      <c r="B62">
        <f t="shared" ref="B62:L62" si="38">A62/3</f>
        <v>4173.3812652369734</v>
      </c>
      <c r="C62">
        <f t="shared" si="38"/>
        <v>1391.1270884123244</v>
      </c>
      <c r="D62">
        <f t="shared" si="38"/>
        <v>463.70902947077479</v>
      </c>
      <c r="E62">
        <f t="shared" si="38"/>
        <v>154.56967649025827</v>
      </c>
      <c r="F62">
        <f t="shared" si="38"/>
        <v>51.523225496752758</v>
      </c>
      <c r="G62">
        <f t="shared" si="38"/>
        <v>17.174408498917586</v>
      </c>
      <c r="H62">
        <f t="shared" si="38"/>
        <v>5.7248028329725287</v>
      </c>
      <c r="I62">
        <f t="shared" si="38"/>
        <v>1.908267610990843</v>
      </c>
      <c r="J62">
        <f t="shared" si="38"/>
        <v>0.63608920366361432</v>
      </c>
      <c r="K62">
        <f t="shared" si="38"/>
        <v>0.21202973455453811</v>
      </c>
      <c r="L62">
        <f t="shared" si="38"/>
        <v>7.0676578184846031E-2</v>
      </c>
      <c r="M62" s="2">
        <v>10.1</v>
      </c>
      <c r="N62" s="2"/>
      <c r="O62" s="8"/>
    </row>
    <row r="63" spans="1:15" x14ac:dyDescent="0.35">
      <c r="A63">
        <f t="shared" si="25"/>
        <v>12520.143795710921</v>
      </c>
      <c r="B63">
        <f t="shared" ref="B63:L63" si="39">A63/3</f>
        <v>4173.3812652369734</v>
      </c>
      <c r="C63">
        <f t="shared" si="39"/>
        <v>1391.1270884123244</v>
      </c>
      <c r="D63">
        <f t="shared" si="39"/>
        <v>463.70902947077479</v>
      </c>
      <c r="E63">
        <f t="shared" si="39"/>
        <v>154.56967649025827</v>
      </c>
      <c r="F63">
        <f t="shared" si="39"/>
        <v>51.523225496752758</v>
      </c>
      <c r="G63">
        <f t="shared" si="39"/>
        <v>17.174408498917586</v>
      </c>
      <c r="H63">
        <f t="shared" si="39"/>
        <v>5.7248028329725287</v>
      </c>
      <c r="I63">
        <f t="shared" si="39"/>
        <v>1.908267610990843</v>
      </c>
      <c r="J63">
        <f t="shared" si="39"/>
        <v>0.63608920366361432</v>
      </c>
      <c r="K63">
        <f t="shared" si="39"/>
        <v>0.21202973455453811</v>
      </c>
      <c r="L63">
        <f t="shared" si="39"/>
        <v>7.0676578184846031E-2</v>
      </c>
      <c r="M63" s="2">
        <f>M62</f>
        <v>10.1</v>
      </c>
      <c r="N63" s="2"/>
      <c r="O63" s="8"/>
    </row>
    <row r="64" spans="1:15" x14ac:dyDescent="0.35">
      <c r="A64">
        <f t="shared" si="25"/>
        <v>12520.143795710921</v>
      </c>
      <c r="B64">
        <f t="shared" ref="B64:L64" si="40">A64/3</f>
        <v>4173.3812652369734</v>
      </c>
      <c r="C64">
        <f t="shared" si="40"/>
        <v>1391.1270884123244</v>
      </c>
      <c r="D64">
        <f t="shared" si="40"/>
        <v>463.70902947077479</v>
      </c>
      <c r="E64">
        <f t="shared" si="40"/>
        <v>154.56967649025827</v>
      </c>
      <c r="F64">
        <f t="shared" si="40"/>
        <v>51.523225496752758</v>
      </c>
      <c r="G64">
        <f t="shared" si="40"/>
        <v>17.174408498917586</v>
      </c>
      <c r="H64">
        <f t="shared" si="40"/>
        <v>5.7248028329725287</v>
      </c>
      <c r="I64">
        <f t="shared" si="40"/>
        <v>1.908267610990843</v>
      </c>
      <c r="J64">
        <f t="shared" si="40"/>
        <v>0.63608920366361432</v>
      </c>
      <c r="K64">
        <f t="shared" si="40"/>
        <v>0.21202973455453811</v>
      </c>
      <c r="L64">
        <f t="shared" si="40"/>
        <v>7.0676578184846031E-2</v>
      </c>
      <c r="M64" s="2">
        <f>M62</f>
        <v>10.1</v>
      </c>
      <c r="O64" s="8"/>
    </row>
  </sheetData>
  <mergeCells count="2">
    <mergeCell ref="N1:N15"/>
    <mergeCell ref="O50:O64"/>
  </mergeCells>
  <conditionalFormatting sqref="A1:L15">
    <cfRule type="colorScale" priority="160">
      <colorScale>
        <cfvo type="min"/>
        <cfvo type="max"/>
        <color theme="3" tint="0.89999084444715716"/>
        <color theme="3" tint="0.249977111117893"/>
      </colorScale>
    </cfRule>
  </conditionalFormatting>
  <conditionalFormatting sqref="A33:L34 A36:L37 A39:L40 A42:L43 A45:L48">
    <cfRule type="colorScale" priority="170">
      <colorScale>
        <cfvo type="min"/>
        <cfvo type="max"/>
        <color theme="3" tint="0.89999084444715716"/>
        <color theme="3" tint="0.249977111117893"/>
      </colorScale>
    </cfRule>
    <cfRule type="colorScale" priority="171">
      <colorScale>
        <cfvo type="min"/>
        <cfvo type="max"/>
        <color theme="3" tint="0.89999084444715716"/>
        <color theme="3" tint="9.9978637043366805E-2"/>
      </colorScale>
    </cfRule>
  </conditionalFormatting>
  <conditionalFormatting sqref="A33:L46">
    <cfRule type="colorScale" priority="63">
      <colorScale>
        <cfvo type="min"/>
        <cfvo type="max"/>
        <color theme="4" tint="0.79998168889431442"/>
        <color theme="3" tint="0.249977111117893"/>
      </colorScale>
    </cfRule>
  </conditionalFormatting>
  <conditionalFormatting sqref="A34:L34">
    <cfRule type="colorScale" priority="77">
      <colorScale>
        <cfvo type="min"/>
        <cfvo type="max"/>
        <color theme="3" tint="0.89999084444715716"/>
        <color theme="3" tint="9.9978637043366805E-2"/>
      </colorScale>
    </cfRule>
    <cfRule type="colorScale" priority="76">
      <colorScale>
        <cfvo type="min"/>
        <cfvo type="max"/>
        <color theme="3" tint="0.89999084444715716"/>
        <color theme="3" tint="0.249977111117893"/>
      </colorScale>
    </cfRule>
  </conditionalFormatting>
  <conditionalFormatting sqref="A35:L35">
    <cfRule type="colorScale" priority="91">
      <colorScale>
        <cfvo type="min"/>
        <cfvo type="max"/>
        <color theme="3" tint="0.89999084444715716"/>
        <color theme="3" tint="0.249977111117893"/>
      </colorScale>
    </cfRule>
    <cfRule type="colorScale" priority="90">
      <colorScale>
        <cfvo type="min"/>
        <cfvo type="max"/>
        <color theme="3" tint="0.89999084444715716"/>
        <color theme="3" tint="0.249977111117893"/>
      </colorScale>
    </cfRule>
  </conditionalFormatting>
  <conditionalFormatting sqref="A36:L36">
    <cfRule type="colorScale" priority="101">
      <colorScale>
        <cfvo type="min"/>
        <cfvo type="max"/>
        <color theme="3" tint="0.89999084444715716"/>
        <color theme="3" tint="0.249977111117893"/>
      </colorScale>
    </cfRule>
    <cfRule type="colorScale" priority="81">
      <colorScale>
        <cfvo type="min"/>
        <cfvo type="max"/>
        <color theme="3" tint="0.89999084444715716"/>
        <color theme="3" tint="0.249977111117893"/>
      </colorScale>
    </cfRule>
  </conditionalFormatting>
  <conditionalFormatting sqref="A37:L37">
    <cfRule type="colorScale" priority="58">
      <colorScale>
        <cfvo type="min"/>
        <cfvo type="max"/>
        <color theme="3" tint="0.89999084444715716"/>
        <color theme="3" tint="0.249977111117893"/>
      </colorScale>
    </cfRule>
    <cfRule type="colorScale" priority="59">
      <colorScale>
        <cfvo type="min"/>
        <cfvo type="max"/>
        <color theme="3" tint="0.89999084444715716"/>
        <color theme="3" tint="9.9978637043366805E-2"/>
      </colorScale>
    </cfRule>
    <cfRule type="colorScale" priority="10">
      <colorScale>
        <cfvo type="min"/>
        <cfvo type="max"/>
        <color theme="3" tint="0.89999084444715716"/>
        <color theme="3" tint="0.249977111117893"/>
      </colorScale>
    </cfRule>
    <cfRule type="colorScale" priority="11">
      <colorScale>
        <cfvo type="min"/>
        <cfvo type="max"/>
        <color theme="3" tint="0.89999084444715716"/>
        <color theme="3" tint="9.9978637043366805E-2"/>
      </colorScale>
    </cfRule>
    <cfRule type="colorScale" priority="12">
      <colorScale>
        <cfvo type="min"/>
        <cfvo type="max"/>
        <color theme="3" tint="0.89999084444715716"/>
        <color theme="3" tint="0.249977111117893"/>
      </colorScale>
    </cfRule>
    <cfRule type="colorScale" priority="97">
      <colorScale>
        <cfvo type="min"/>
        <cfvo type="max"/>
        <color theme="3" tint="0.89999084444715716"/>
        <color theme="3" tint="0.249977111117893"/>
      </colorScale>
    </cfRule>
    <cfRule type="colorScale" priority="75">
      <colorScale>
        <cfvo type="min"/>
        <cfvo type="max"/>
        <color theme="3" tint="0.89999084444715716"/>
        <color theme="3" tint="0.249977111117893"/>
      </colorScale>
    </cfRule>
    <cfRule type="colorScale" priority="22">
      <colorScale>
        <cfvo type="min"/>
        <cfvo type="max"/>
        <color theme="3" tint="0.89999084444715716"/>
        <color theme="3" tint="0.249977111117893"/>
      </colorScale>
    </cfRule>
    <cfRule type="colorScale" priority="23">
      <colorScale>
        <cfvo type="min"/>
        <cfvo type="max"/>
        <color theme="3" tint="0.89999084444715716"/>
        <color theme="3" tint="9.9978637043366805E-2"/>
      </colorScale>
    </cfRule>
    <cfRule type="colorScale" priority="24">
      <colorScale>
        <cfvo type="min"/>
        <cfvo type="max"/>
        <color theme="3" tint="0.89999084444715716"/>
        <color theme="3" tint="0.249977111117893"/>
      </colorScale>
    </cfRule>
    <cfRule type="colorScale" priority="74">
      <colorScale>
        <cfvo type="min"/>
        <cfvo type="max"/>
        <color theme="3" tint="0.89999084444715716"/>
        <color theme="3" tint="9.9978637043366805E-2"/>
      </colorScale>
    </cfRule>
    <cfRule type="colorScale" priority="73">
      <colorScale>
        <cfvo type="min"/>
        <cfvo type="max"/>
        <color theme="3" tint="0.89999084444715716"/>
        <color theme="3" tint="0.249977111117893"/>
      </colorScale>
    </cfRule>
    <cfRule type="colorScale" priority="60">
      <colorScale>
        <cfvo type="min"/>
        <cfvo type="max"/>
        <color theme="3" tint="0.89999084444715716"/>
        <color theme="3" tint="0.249977111117893"/>
      </colorScale>
    </cfRule>
  </conditionalFormatting>
  <conditionalFormatting sqref="A38:L38">
    <cfRule type="colorScale" priority="88">
      <colorScale>
        <cfvo type="min"/>
        <cfvo type="max"/>
        <color theme="3" tint="0.89999084444715716"/>
        <color theme="3" tint="0.249977111117893"/>
      </colorScale>
    </cfRule>
    <cfRule type="colorScale" priority="89">
      <colorScale>
        <cfvo type="min"/>
        <cfvo type="max"/>
        <color theme="3" tint="0.89999084444715716"/>
        <color theme="3" tint="0.249977111117893"/>
      </colorScale>
    </cfRule>
  </conditionalFormatting>
  <conditionalFormatting sqref="A39:L39">
    <cfRule type="colorScale" priority="80">
      <colorScale>
        <cfvo type="min"/>
        <cfvo type="max"/>
        <color theme="3" tint="0.89999084444715716"/>
        <color theme="3" tint="0.249977111117893"/>
      </colorScale>
    </cfRule>
    <cfRule type="colorScale" priority="100">
      <colorScale>
        <cfvo type="min"/>
        <cfvo type="max"/>
        <color theme="3" tint="0.89999084444715716"/>
        <color theme="3" tint="0.249977111117893"/>
      </colorScale>
    </cfRule>
  </conditionalFormatting>
  <conditionalFormatting sqref="A40:L40">
    <cfRule type="colorScale" priority="7">
      <colorScale>
        <cfvo type="min"/>
        <cfvo type="max"/>
        <color theme="3" tint="0.89999084444715716"/>
        <color theme="3" tint="0.249977111117893"/>
      </colorScale>
    </cfRule>
    <cfRule type="colorScale" priority="8">
      <colorScale>
        <cfvo type="min"/>
        <cfvo type="max"/>
        <color theme="3" tint="0.89999084444715716"/>
        <color theme="3" tint="9.9978637043366805E-2"/>
      </colorScale>
    </cfRule>
    <cfRule type="colorScale" priority="9">
      <colorScale>
        <cfvo type="min"/>
        <cfvo type="max"/>
        <color theme="3" tint="0.89999084444715716"/>
        <color theme="3" tint="0.249977111117893"/>
      </colorScale>
    </cfRule>
    <cfRule type="colorScale" priority="19">
      <colorScale>
        <cfvo type="min"/>
        <cfvo type="max"/>
        <color theme="3" tint="0.89999084444715716"/>
        <color theme="3" tint="0.249977111117893"/>
      </colorScale>
    </cfRule>
    <cfRule type="colorScale" priority="20">
      <colorScale>
        <cfvo type="min"/>
        <cfvo type="max"/>
        <color theme="3" tint="0.89999084444715716"/>
        <color theme="3" tint="9.9978637043366805E-2"/>
      </colorScale>
    </cfRule>
    <cfRule type="colorScale" priority="21">
      <colorScale>
        <cfvo type="min"/>
        <cfvo type="max"/>
        <color theme="3" tint="0.89999084444715716"/>
        <color theme="3" tint="0.249977111117893"/>
      </colorScale>
    </cfRule>
    <cfRule type="colorScale" priority="72">
      <colorScale>
        <cfvo type="min"/>
        <cfvo type="max"/>
        <color theme="3" tint="0.89999084444715716"/>
        <color theme="3" tint="0.249977111117893"/>
      </colorScale>
    </cfRule>
    <cfRule type="colorScale" priority="70">
      <colorScale>
        <cfvo type="min"/>
        <cfvo type="max"/>
        <color theme="3" tint="0.89999084444715716"/>
        <color theme="3" tint="0.249977111117893"/>
      </colorScale>
    </cfRule>
    <cfRule type="colorScale" priority="71">
      <colorScale>
        <cfvo type="min"/>
        <cfvo type="max"/>
        <color theme="3" tint="0.89999084444715716"/>
        <color theme="3" tint="9.9978637043366805E-2"/>
      </colorScale>
    </cfRule>
    <cfRule type="colorScale" priority="57">
      <colorScale>
        <cfvo type="min"/>
        <cfvo type="max"/>
        <color theme="3" tint="0.89999084444715716"/>
        <color theme="3" tint="0.249977111117893"/>
      </colorScale>
    </cfRule>
    <cfRule type="colorScale" priority="56">
      <colorScale>
        <cfvo type="min"/>
        <cfvo type="max"/>
        <color theme="3" tint="0.89999084444715716"/>
        <color theme="3" tint="0.249977111117893"/>
      </colorScale>
    </cfRule>
    <cfRule type="colorScale" priority="55">
      <colorScale>
        <cfvo type="min"/>
        <cfvo type="max"/>
        <color theme="3" tint="0.89999084444715716"/>
        <color theme="3" tint="9.9978637043366805E-2"/>
      </colorScale>
    </cfRule>
    <cfRule type="colorScale" priority="54">
      <colorScale>
        <cfvo type="min"/>
        <cfvo type="max"/>
        <color theme="3" tint="0.89999084444715716"/>
        <color theme="3" tint="0.249977111117893"/>
      </colorScale>
    </cfRule>
    <cfRule type="colorScale" priority="51">
      <colorScale>
        <cfvo type="min"/>
        <cfvo type="max"/>
        <color theme="3" tint="0.89999084444715716"/>
        <color theme="3" tint="0.249977111117893"/>
      </colorScale>
    </cfRule>
    <cfRule type="colorScale" priority="52">
      <colorScale>
        <cfvo type="min"/>
        <cfvo type="max"/>
        <color theme="3" tint="0.89999084444715716"/>
        <color theme="3" tint="9.9978637043366805E-2"/>
      </colorScale>
    </cfRule>
    <cfRule type="colorScale" priority="53">
      <colorScale>
        <cfvo type="min"/>
        <cfvo type="max"/>
        <color theme="3" tint="0.89999084444715716"/>
        <color theme="3" tint="0.249977111117893"/>
      </colorScale>
    </cfRule>
    <cfRule type="colorScale" priority="96">
      <colorScale>
        <cfvo type="min"/>
        <cfvo type="max"/>
        <color theme="3" tint="0.89999084444715716"/>
        <color theme="3" tint="0.249977111117893"/>
      </colorScale>
    </cfRule>
  </conditionalFormatting>
  <conditionalFormatting sqref="A41:L41">
    <cfRule type="colorScale" priority="86">
      <colorScale>
        <cfvo type="min"/>
        <cfvo type="max"/>
        <color theme="3" tint="0.89999084444715716"/>
        <color theme="3" tint="0.249977111117893"/>
      </colorScale>
    </cfRule>
    <cfRule type="colorScale" priority="87">
      <colorScale>
        <cfvo type="min"/>
        <cfvo type="max"/>
        <color theme="3" tint="0.89999084444715716"/>
        <color theme="3" tint="0.249977111117893"/>
      </colorScale>
    </cfRule>
  </conditionalFormatting>
  <conditionalFormatting sqref="A42:L42">
    <cfRule type="colorScale" priority="99">
      <colorScale>
        <cfvo type="min"/>
        <cfvo type="max"/>
        <color theme="3" tint="0.89999084444715716"/>
        <color theme="3" tint="0.249977111117893"/>
      </colorScale>
    </cfRule>
    <cfRule type="colorScale" priority="79">
      <colorScale>
        <cfvo type="min"/>
        <cfvo type="max"/>
        <color theme="3" tint="0.89999084444715716"/>
        <color theme="3" tint="0.249977111117893"/>
      </colorScale>
    </cfRule>
  </conditionalFormatting>
  <conditionalFormatting sqref="A43:L43">
    <cfRule type="colorScale" priority="45">
      <colorScale>
        <cfvo type="min"/>
        <cfvo type="max"/>
        <color theme="3" tint="0.89999084444715716"/>
        <color theme="3" tint="0.249977111117893"/>
      </colorScale>
    </cfRule>
    <cfRule type="colorScale" priority="46">
      <colorScale>
        <cfvo type="min"/>
        <cfvo type="max"/>
        <color theme="3" tint="0.89999084444715716"/>
        <color theme="3" tint="0.249977111117893"/>
      </colorScale>
    </cfRule>
    <cfRule type="colorScale" priority="47">
      <colorScale>
        <cfvo type="min"/>
        <cfvo type="max"/>
        <color theme="3" tint="0.89999084444715716"/>
        <color theme="3" tint="0.249977111117893"/>
      </colorScale>
    </cfRule>
    <cfRule type="colorScale" priority="48">
      <colorScale>
        <cfvo type="min"/>
        <cfvo type="max"/>
        <color theme="3" tint="0.89999084444715716"/>
        <color theme="3" tint="9.9978637043366805E-2"/>
      </colorScale>
    </cfRule>
    <cfRule type="colorScale" priority="49">
      <colorScale>
        <cfvo type="min"/>
        <cfvo type="max"/>
        <color theme="3" tint="0.89999084444715716"/>
        <color theme="3" tint="0.249977111117893"/>
      </colorScale>
    </cfRule>
    <cfRule type="colorScale" priority="50">
      <colorScale>
        <cfvo type="min"/>
        <cfvo type="max"/>
        <color theme="3" tint="0.89999084444715716"/>
        <color theme="3" tint="0.249977111117893"/>
      </colorScale>
    </cfRule>
    <cfRule type="colorScale" priority="40">
      <colorScale>
        <cfvo type="min"/>
        <cfvo type="max"/>
        <color theme="3" tint="0.89999084444715716"/>
        <color theme="3" tint="0.249977111117893"/>
      </colorScale>
    </cfRule>
    <cfRule type="colorScale" priority="42">
      <colorScale>
        <cfvo type="min"/>
        <cfvo type="max"/>
        <color theme="3" tint="0.89999084444715716"/>
        <color theme="3" tint="0.249977111117893"/>
      </colorScale>
    </cfRule>
    <cfRule type="colorScale" priority="43">
      <colorScale>
        <cfvo type="min"/>
        <cfvo type="max"/>
        <color theme="3" tint="0.89999084444715716"/>
        <color theme="3" tint="0.249977111117893"/>
      </colorScale>
    </cfRule>
    <cfRule type="colorScale" priority="67">
      <colorScale>
        <cfvo type="min"/>
        <cfvo type="max"/>
        <color theme="3" tint="0.89999084444715716"/>
        <color theme="3" tint="0.249977111117893"/>
      </colorScale>
    </cfRule>
    <cfRule type="colorScale" priority="68">
      <colorScale>
        <cfvo type="min"/>
        <cfvo type="max"/>
        <color theme="3" tint="0.89999084444715716"/>
        <color theme="3" tint="9.9978637043366805E-2"/>
      </colorScale>
    </cfRule>
    <cfRule type="colorScale" priority="69">
      <colorScale>
        <cfvo type="min"/>
        <cfvo type="max"/>
        <color theme="3" tint="0.89999084444715716"/>
        <color theme="3" tint="0.249977111117893"/>
      </colorScale>
    </cfRule>
    <cfRule type="colorScale" priority="18">
      <colorScale>
        <cfvo type="min"/>
        <cfvo type="max"/>
        <color theme="3" tint="0.89999084444715716"/>
        <color theme="3" tint="0.249977111117893"/>
      </colorScale>
    </cfRule>
    <cfRule type="colorScale" priority="17">
      <colorScale>
        <cfvo type="min"/>
        <cfvo type="max"/>
        <color theme="3" tint="0.89999084444715716"/>
        <color theme="3" tint="9.9978637043366805E-2"/>
      </colorScale>
    </cfRule>
    <cfRule type="colorScale" priority="16">
      <colorScale>
        <cfvo type="min"/>
        <cfvo type="max"/>
        <color theme="3" tint="0.89999084444715716"/>
        <color theme="3" tint="0.249977111117893"/>
      </colorScale>
    </cfRule>
    <cfRule type="colorScale" priority="95">
      <colorScale>
        <cfvo type="min"/>
        <cfvo type="max"/>
        <color theme="3" tint="0.89999084444715716"/>
        <color theme="3" tint="0.249977111117893"/>
      </colorScale>
    </cfRule>
    <cfRule type="colorScale" priority="44">
      <colorScale>
        <cfvo type="min"/>
        <cfvo type="max"/>
        <color theme="3" tint="0.89999084444715716"/>
        <color theme="3" tint="9.9978637043366805E-2"/>
      </colorScale>
    </cfRule>
    <cfRule type="colorScale" priority="41">
      <colorScale>
        <cfvo type="min"/>
        <cfvo type="max"/>
        <color theme="3" tint="0.89999084444715716"/>
        <color theme="3" tint="9.9978637043366805E-2"/>
      </colorScale>
    </cfRule>
    <cfRule type="colorScale" priority="6">
      <colorScale>
        <cfvo type="min"/>
        <cfvo type="max"/>
        <color theme="3" tint="0.89999084444715716"/>
        <color theme="3" tint="0.249977111117893"/>
      </colorScale>
    </cfRule>
    <cfRule type="colorScale" priority="5">
      <colorScale>
        <cfvo type="min"/>
        <cfvo type="max"/>
        <color theme="3" tint="0.89999084444715716"/>
        <color theme="3" tint="9.9978637043366805E-2"/>
      </colorScale>
    </cfRule>
    <cfRule type="colorScale" priority="4">
      <colorScale>
        <cfvo type="min"/>
        <cfvo type="max"/>
        <color theme="3" tint="0.89999084444715716"/>
        <color theme="3" tint="0.249977111117893"/>
      </colorScale>
    </cfRule>
  </conditionalFormatting>
  <conditionalFormatting sqref="A44:L44">
    <cfRule type="colorScale" priority="85">
      <colorScale>
        <cfvo type="min"/>
        <cfvo type="max"/>
        <color theme="3" tint="0.89999084444715716"/>
        <color theme="3" tint="0.249977111117893"/>
      </colorScale>
    </cfRule>
    <cfRule type="colorScale" priority="84">
      <colorScale>
        <cfvo type="min"/>
        <cfvo type="max"/>
        <color theme="3" tint="0.89999084444715716"/>
        <color theme="3" tint="0.249977111117893"/>
      </colorScale>
    </cfRule>
  </conditionalFormatting>
  <conditionalFormatting sqref="A45:L45">
    <cfRule type="colorScale" priority="98">
      <colorScale>
        <cfvo type="min"/>
        <cfvo type="max"/>
        <color theme="3" tint="0.89999084444715716"/>
        <color theme="3" tint="0.249977111117893"/>
      </colorScale>
    </cfRule>
    <cfRule type="colorScale" priority="78">
      <colorScale>
        <cfvo type="min"/>
        <cfvo type="max"/>
        <color theme="3" tint="0.89999084444715716"/>
        <color theme="3" tint="0.249977111117893"/>
      </colorScale>
    </cfRule>
  </conditionalFormatting>
  <conditionalFormatting sqref="A46:L46">
    <cfRule type="colorScale" priority="25">
      <colorScale>
        <cfvo type="min"/>
        <cfvo type="max"/>
        <color theme="3" tint="0.89999084444715716"/>
        <color theme="3" tint="0.249977111117893"/>
      </colorScale>
    </cfRule>
    <cfRule type="colorScale" priority="15">
      <colorScale>
        <cfvo type="min"/>
        <cfvo type="max"/>
        <color theme="3" tint="0.89999084444715716"/>
        <color theme="3" tint="0.249977111117893"/>
      </colorScale>
    </cfRule>
    <cfRule type="colorScale" priority="13">
      <colorScale>
        <cfvo type="min"/>
        <cfvo type="max"/>
        <color theme="3" tint="0.89999084444715716"/>
        <color theme="3" tint="0.249977111117893"/>
      </colorScale>
    </cfRule>
    <cfRule type="colorScale" priority="3">
      <colorScale>
        <cfvo type="min"/>
        <cfvo type="max"/>
        <color theme="3" tint="0.89999084444715716"/>
        <color theme="3" tint="0.249977111117893"/>
      </colorScale>
    </cfRule>
    <cfRule type="colorScale" priority="39">
      <colorScale>
        <cfvo type="min"/>
        <cfvo type="max"/>
        <color theme="3" tint="0.89999084444715716"/>
        <color theme="3" tint="0.249977111117893"/>
      </colorScale>
    </cfRule>
    <cfRule type="colorScale" priority="2">
      <colorScale>
        <cfvo type="min"/>
        <cfvo type="max"/>
        <color theme="3" tint="0.89999084444715716"/>
        <color theme="3" tint="9.9978637043366805E-2"/>
      </colorScale>
    </cfRule>
    <cfRule type="colorScale" priority="1">
      <colorScale>
        <cfvo type="min"/>
        <cfvo type="max"/>
        <color theme="3" tint="0.89999084444715716"/>
        <color theme="3" tint="0.249977111117893"/>
      </colorScale>
    </cfRule>
    <cfRule type="colorScale" priority="38">
      <colorScale>
        <cfvo type="min"/>
        <cfvo type="max"/>
        <color theme="3" tint="0.89999084444715716"/>
        <color theme="3" tint="0.249977111117893"/>
      </colorScale>
    </cfRule>
    <cfRule type="colorScale" priority="28">
      <colorScale>
        <cfvo type="min"/>
        <cfvo type="max"/>
        <color theme="3" tint="0.89999084444715716"/>
        <color theme="3" tint="0.249977111117893"/>
      </colorScale>
    </cfRule>
    <cfRule type="colorScale" priority="37">
      <colorScale>
        <cfvo type="min"/>
        <cfvo type="max"/>
        <color theme="3" tint="0.89999084444715716"/>
        <color theme="3" tint="9.9978637043366805E-2"/>
      </colorScale>
    </cfRule>
    <cfRule type="colorScale" priority="36">
      <colorScale>
        <cfvo type="min"/>
        <cfvo type="max"/>
        <color theme="3" tint="0.89999084444715716"/>
        <color theme="3" tint="0.249977111117893"/>
      </colorScale>
    </cfRule>
    <cfRule type="colorScale" priority="35">
      <colorScale>
        <cfvo type="min"/>
        <cfvo type="max"/>
        <color theme="3" tint="0.89999084444715716"/>
        <color theme="3" tint="0.249977111117893"/>
      </colorScale>
    </cfRule>
    <cfRule type="colorScale" priority="34">
      <colorScale>
        <cfvo type="min"/>
        <cfvo type="max"/>
        <color theme="3" tint="0.89999084444715716"/>
        <color theme="3" tint="0.249977111117893"/>
      </colorScale>
    </cfRule>
    <cfRule type="colorScale" priority="27">
      <colorScale>
        <cfvo type="min"/>
        <cfvo type="max"/>
        <color theme="3" tint="0.89999084444715716"/>
        <color theme="3" tint="0.249977111117893"/>
      </colorScale>
    </cfRule>
    <cfRule type="colorScale" priority="26">
      <colorScale>
        <cfvo type="min"/>
        <cfvo type="max"/>
        <color theme="3" tint="0.89999084444715716"/>
        <color theme="3" tint="9.9978637043366805E-2"/>
      </colorScale>
    </cfRule>
    <cfRule type="colorScale" priority="33">
      <colorScale>
        <cfvo type="min"/>
        <cfvo type="max"/>
        <color theme="3" tint="0.89999084444715716"/>
        <color theme="3" tint="9.9978637043366805E-2"/>
      </colorScale>
    </cfRule>
    <cfRule type="colorScale" priority="64">
      <colorScale>
        <cfvo type="min"/>
        <cfvo type="max"/>
        <color theme="3" tint="0.89999084444715716"/>
        <color theme="3" tint="0.249977111117893"/>
      </colorScale>
    </cfRule>
    <cfRule type="colorScale" priority="65">
      <colorScale>
        <cfvo type="min"/>
        <cfvo type="max"/>
        <color theme="3" tint="0.89999084444715716"/>
        <color theme="3" tint="9.9978637043366805E-2"/>
      </colorScale>
    </cfRule>
    <cfRule type="colorScale" priority="66">
      <colorScale>
        <cfvo type="min"/>
        <cfvo type="max"/>
        <color theme="3" tint="0.89999084444715716"/>
        <color theme="3" tint="0.249977111117893"/>
      </colorScale>
    </cfRule>
    <cfRule type="colorScale" priority="32">
      <colorScale>
        <cfvo type="min"/>
        <cfvo type="max"/>
        <color theme="3" tint="0.89999084444715716"/>
        <color theme="3" tint="0.249977111117893"/>
      </colorScale>
    </cfRule>
    <cfRule type="colorScale" priority="14">
      <colorScale>
        <cfvo type="min"/>
        <cfvo type="max"/>
        <color theme="3" tint="0.89999084444715716"/>
        <color theme="3" tint="9.9978637043366805E-2"/>
      </colorScale>
    </cfRule>
    <cfRule type="colorScale" priority="31">
      <colorScale>
        <cfvo type="min"/>
        <cfvo type="max"/>
        <color theme="3" tint="0.89999084444715716"/>
        <color theme="3" tint="0.249977111117893"/>
      </colorScale>
    </cfRule>
    <cfRule type="colorScale" priority="30">
      <colorScale>
        <cfvo type="min"/>
        <cfvo type="max"/>
        <color theme="3" tint="0.89999084444715716"/>
        <color theme="3" tint="0.249977111117893"/>
      </colorScale>
    </cfRule>
    <cfRule type="colorScale" priority="29">
      <colorScale>
        <cfvo type="min"/>
        <cfvo type="max"/>
        <color theme="3" tint="0.89999084444715716"/>
        <color theme="3" tint="9.9978637043366805E-2"/>
      </colorScale>
    </cfRule>
  </conditionalFormatting>
  <conditionalFormatting sqref="A46:L48">
    <cfRule type="colorScale" priority="168">
      <colorScale>
        <cfvo type="min"/>
        <cfvo type="max"/>
        <color theme="3" tint="0.89999084444715716"/>
        <color theme="3" tint="0.249977111117893"/>
      </colorScale>
    </cfRule>
  </conditionalFormatting>
  <conditionalFormatting sqref="A50:L64 A17:L34">
    <cfRule type="colorScale" priority="176">
      <colorScale>
        <cfvo type="min"/>
        <cfvo type="max"/>
        <color theme="3" tint="0.89999084444715716"/>
        <color theme="3" tint="0.249977111117893"/>
      </colorScale>
    </cfRule>
  </conditionalFormatting>
  <conditionalFormatting sqref="M1:M15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7:M31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3:M47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0:M64 M32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0:M64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2:Y32">
    <cfRule type="colorScale" priority="175">
      <colorScale>
        <cfvo type="min"/>
        <cfvo type="max"/>
        <color theme="3" tint="0.89999084444715716"/>
        <color theme="3" tint="0.249977111117893"/>
      </colorScale>
    </cfRule>
  </conditionalFormatting>
  <conditionalFormatting sqref="O48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9543-C765-45BD-B134-840D96949F03}">
  <dimension ref="A1:O64"/>
  <sheetViews>
    <sheetView zoomScaleNormal="100" workbookViewId="0">
      <selection activeCell="A17" sqref="A17"/>
    </sheetView>
  </sheetViews>
  <sheetFormatPr defaultRowHeight="14.5" x14ac:dyDescent="0.35"/>
  <cols>
    <col min="1" max="1" width="12.54296875" customWidth="1"/>
    <col min="2" max="8" width="10.36328125" bestFit="1" customWidth="1"/>
    <col min="9" max="11" width="9.36328125" bestFit="1" customWidth="1"/>
    <col min="12" max="12" width="10.36328125" bestFit="1" customWidth="1"/>
  </cols>
  <sheetData>
    <row r="1" spans="1:14" x14ac:dyDescent="0.35">
      <c r="A1">
        <v>52839</v>
      </c>
      <c r="B1">
        <v>52783</v>
      </c>
      <c r="C1">
        <v>51320</v>
      </c>
      <c r="D1">
        <v>47675</v>
      </c>
      <c r="E1">
        <v>47218</v>
      </c>
      <c r="F1">
        <v>45065</v>
      </c>
      <c r="G1">
        <v>39862</v>
      </c>
      <c r="H1">
        <v>33760</v>
      </c>
      <c r="I1">
        <v>29120</v>
      </c>
      <c r="J1">
        <v>25099</v>
      </c>
      <c r="K1">
        <v>24989</v>
      </c>
      <c r="L1">
        <v>26209</v>
      </c>
      <c r="M1" s="2">
        <v>1</v>
      </c>
      <c r="N1" s="5"/>
    </row>
    <row r="2" spans="1:14" x14ac:dyDescent="0.35">
      <c r="A2">
        <v>48903</v>
      </c>
      <c r="B2">
        <v>48228</v>
      </c>
      <c r="C2">
        <v>50396</v>
      </c>
      <c r="D2">
        <v>47775</v>
      </c>
      <c r="E2">
        <v>47276</v>
      </c>
      <c r="F2">
        <v>44589</v>
      </c>
      <c r="G2">
        <v>40174</v>
      </c>
      <c r="H2">
        <v>33823</v>
      </c>
      <c r="I2">
        <v>27868</v>
      </c>
      <c r="J2">
        <v>25479</v>
      </c>
      <c r="K2">
        <v>24670</v>
      </c>
      <c r="L2">
        <v>23560</v>
      </c>
      <c r="M2" s="2">
        <v>1</v>
      </c>
      <c r="N2" s="5"/>
    </row>
    <row r="3" spans="1:14" x14ac:dyDescent="0.35">
      <c r="A3">
        <v>49388</v>
      </c>
      <c r="B3">
        <v>50316</v>
      </c>
      <c r="C3">
        <v>49310</v>
      </c>
      <c r="D3">
        <v>46924</v>
      </c>
      <c r="E3">
        <v>46165</v>
      </c>
      <c r="F3">
        <v>43986</v>
      </c>
      <c r="G3">
        <v>39982</v>
      </c>
      <c r="H3">
        <v>31915</v>
      </c>
      <c r="I3">
        <v>27928</v>
      </c>
      <c r="J3">
        <v>26390</v>
      </c>
      <c r="K3">
        <v>26155</v>
      </c>
      <c r="L3">
        <v>25731</v>
      </c>
      <c r="M3" s="2">
        <v>1</v>
      </c>
      <c r="N3" s="5"/>
    </row>
    <row r="4" spans="1:14" x14ac:dyDescent="0.35">
      <c r="A4">
        <v>49357</v>
      </c>
      <c r="B4">
        <v>49284</v>
      </c>
      <c r="C4">
        <v>49591</v>
      </c>
      <c r="D4">
        <v>49126</v>
      </c>
      <c r="E4">
        <v>48753</v>
      </c>
      <c r="F4">
        <v>46014</v>
      </c>
      <c r="G4">
        <v>39933</v>
      </c>
      <c r="H4">
        <v>34749</v>
      </c>
      <c r="I4">
        <v>28078</v>
      </c>
      <c r="J4">
        <v>25389</v>
      </c>
      <c r="K4">
        <v>25246</v>
      </c>
      <c r="L4">
        <v>25231</v>
      </c>
      <c r="M4" s="2">
        <v>2</v>
      </c>
      <c r="N4" s="5"/>
    </row>
    <row r="5" spans="1:14" x14ac:dyDescent="0.35">
      <c r="A5">
        <v>49333</v>
      </c>
      <c r="B5">
        <v>50094</v>
      </c>
      <c r="C5">
        <v>48330</v>
      </c>
      <c r="D5">
        <v>46981</v>
      </c>
      <c r="E5">
        <v>46782</v>
      </c>
      <c r="F5">
        <v>42543</v>
      </c>
      <c r="G5">
        <v>38968</v>
      </c>
      <c r="H5">
        <v>32162</v>
      </c>
      <c r="I5">
        <v>27471</v>
      </c>
      <c r="J5">
        <v>24216</v>
      </c>
      <c r="K5">
        <v>23623</v>
      </c>
      <c r="L5">
        <v>24927</v>
      </c>
      <c r="M5" s="2">
        <v>2</v>
      </c>
      <c r="N5" s="5"/>
    </row>
    <row r="6" spans="1:14" x14ac:dyDescent="0.35">
      <c r="A6">
        <v>52684</v>
      </c>
      <c r="B6">
        <v>51277</v>
      </c>
      <c r="C6">
        <v>51085</v>
      </c>
      <c r="D6">
        <v>50145</v>
      </c>
      <c r="E6">
        <v>47687</v>
      </c>
      <c r="F6">
        <v>45517</v>
      </c>
      <c r="G6">
        <v>40552</v>
      </c>
      <c r="H6">
        <v>32023</v>
      </c>
      <c r="I6">
        <v>26978</v>
      </c>
      <c r="J6">
        <v>25457</v>
      </c>
      <c r="K6">
        <v>26030</v>
      </c>
      <c r="L6">
        <v>26130</v>
      </c>
      <c r="M6" s="2">
        <v>2</v>
      </c>
    </row>
    <row r="7" spans="1:14" x14ac:dyDescent="0.35">
      <c r="A7">
        <v>51370</v>
      </c>
      <c r="B7">
        <v>49496</v>
      </c>
      <c r="C7">
        <v>50681</v>
      </c>
      <c r="D7">
        <v>50355</v>
      </c>
      <c r="E7">
        <v>49410</v>
      </c>
      <c r="F7">
        <v>45616</v>
      </c>
      <c r="G7">
        <v>43712</v>
      </c>
      <c r="H7">
        <v>36204</v>
      </c>
      <c r="I7">
        <v>28400</v>
      </c>
      <c r="J7">
        <v>25605</v>
      </c>
      <c r="K7">
        <v>25549</v>
      </c>
      <c r="L7">
        <v>25898</v>
      </c>
      <c r="M7" s="2">
        <v>3</v>
      </c>
    </row>
    <row r="8" spans="1:14" x14ac:dyDescent="0.35">
      <c r="A8">
        <v>50509</v>
      </c>
      <c r="B8">
        <v>50126</v>
      </c>
      <c r="C8">
        <v>51833</v>
      </c>
      <c r="D8">
        <v>49409</v>
      </c>
      <c r="E8">
        <v>48827</v>
      </c>
      <c r="F8">
        <v>45181</v>
      </c>
      <c r="G8">
        <v>41931</v>
      </c>
      <c r="H8">
        <v>34003</v>
      </c>
      <c r="I8">
        <v>27158</v>
      </c>
      <c r="J8">
        <v>26189</v>
      </c>
      <c r="K8">
        <v>24159</v>
      </c>
      <c r="L8">
        <v>25588</v>
      </c>
      <c r="M8" s="2">
        <v>3</v>
      </c>
    </row>
    <row r="9" spans="1:14" x14ac:dyDescent="0.35">
      <c r="A9">
        <v>50006</v>
      </c>
      <c r="B9">
        <v>50687</v>
      </c>
      <c r="C9">
        <v>50054</v>
      </c>
      <c r="D9">
        <v>51354</v>
      </c>
      <c r="E9">
        <v>46789</v>
      </c>
      <c r="F9">
        <v>43686</v>
      </c>
      <c r="G9">
        <v>41645</v>
      </c>
      <c r="H9">
        <v>33749</v>
      </c>
      <c r="I9">
        <v>27588</v>
      </c>
      <c r="J9">
        <v>25987</v>
      </c>
      <c r="K9">
        <v>23672</v>
      </c>
      <c r="L9">
        <v>24635</v>
      </c>
      <c r="M9" s="2">
        <v>3</v>
      </c>
    </row>
    <row r="10" spans="1:14" x14ac:dyDescent="0.35">
      <c r="A10">
        <v>50989</v>
      </c>
      <c r="B10">
        <v>48654</v>
      </c>
      <c r="C10">
        <v>48996</v>
      </c>
      <c r="D10">
        <v>52219</v>
      </c>
      <c r="E10">
        <v>47116</v>
      </c>
      <c r="F10">
        <v>43467</v>
      </c>
      <c r="G10">
        <v>36966</v>
      </c>
      <c r="H10">
        <v>28296</v>
      </c>
      <c r="I10">
        <v>25712</v>
      </c>
      <c r="J10">
        <v>25478</v>
      </c>
      <c r="K10">
        <v>24692</v>
      </c>
      <c r="L10">
        <v>25863</v>
      </c>
      <c r="M10" s="2">
        <v>4</v>
      </c>
    </row>
    <row r="11" spans="1:14" x14ac:dyDescent="0.35">
      <c r="A11">
        <v>49795</v>
      </c>
      <c r="B11">
        <v>45593</v>
      </c>
      <c r="C11">
        <v>47624</v>
      </c>
      <c r="D11">
        <v>46411</v>
      </c>
      <c r="E11">
        <v>44206</v>
      </c>
      <c r="F11">
        <v>41706</v>
      </c>
      <c r="G11">
        <v>35593</v>
      </c>
      <c r="H11">
        <v>28636</v>
      </c>
      <c r="I11">
        <v>25748</v>
      </c>
      <c r="J11">
        <v>25172</v>
      </c>
      <c r="K11">
        <v>25824</v>
      </c>
      <c r="L11">
        <v>25081</v>
      </c>
      <c r="M11" s="2">
        <v>4</v>
      </c>
    </row>
    <row r="12" spans="1:14" x14ac:dyDescent="0.35">
      <c r="A12">
        <v>49382</v>
      </c>
      <c r="B12">
        <v>49652</v>
      </c>
      <c r="C12">
        <v>50287</v>
      </c>
      <c r="D12">
        <v>50201</v>
      </c>
      <c r="E12">
        <v>47823</v>
      </c>
      <c r="F12">
        <v>41258</v>
      </c>
      <c r="G12">
        <v>36506</v>
      </c>
      <c r="H12">
        <v>28132</v>
      </c>
      <c r="I12">
        <v>24527</v>
      </c>
      <c r="J12">
        <v>25391</v>
      </c>
      <c r="K12">
        <v>24374</v>
      </c>
      <c r="L12">
        <v>24722</v>
      </c>
      <c r="M12" s="2">
        <v>4</v>
      </c>
    </row>
    <row r="13" spans="1:14" x14ac:dyDescent="0.35">
      <c r="A13">
        <v>48063</v>
      </c>
      <c r="B13">
        <v>51010</v>
      </c>
      <c r="C13">
        <v>47348</v>
      </c>
      <c r="D13">
        <v>47371</v>
      </c>
      <c r="E13">
        <v>46146</v>
      </c>
      <c r="F13">
        <v>39389</v>
      </c>
      <c r="G13">
        <v>35628</v>
      </c>
      <c r="H13">
        <v>28093</v>
      </c>
      <c r="I13">
        <v>25948</v>
      </c>
      <c r="J13">
        <v>24309</v>
      </c>
      <c r="K13">
        <v>24308</v>
      </c>
      <c r="L13">
        <v>24406</v>
      </c>
      <c r="M13" s="2">
        <v>5</v>
      </c>
    </row>
    <row r="14" spans="1:14" x14ac:dyDescent="0.35">
      <c r="A14">
        <v>49965</v>
      </c>
      <c r="B14">
        <v>50395</v>
      </c>
      <c r="C14">
        <v>49121</v>
      </c>
      <c r="D14">
        <v>46675</v>
      </c>
      <c r="E14">
        <v>45308</v>
      </c>
      <c r="F14">
        <v>43222</v>
      </c>
      <c r="G14">
        <v>36679</v>
      </c>
      <c r="H14">
        <v>29770</v>
      </c>
      <c r="I14">
        <v>25825</v>
      </c>
      <c r="J14">
        <v>24210</v>
      </c>
      <c r="K14">
        <v>23710</v>
      </c>
      <c r="L14">
        <v>25172</v>
      </c>
      <c r="M14" s="2">
        <v>5</v>
      </c>
    </row>
    <row r="15" spans="1:14" x14ac:dyDescent="0.35">
      <c r="A15">
        <v>48640</v>
      </c>
      <c r="B15">
        <v>49278</v>
      </c>
      <c r="C15">
        <v>50087</v>
      </c>
      <c r="D15">
        <v>50434</v>
      </c>
      <c r="E15">
        <v>47242</v>
      </c>
      <c r="F15">
        <v>43923</v>
      </c>
      <c r="G15">
        <v>36624</v>
      </c>
      <c r="H15">
        <v>30063</v>
      </c>
      <c r="I15">
        <v>25903</v>
      </c>
      <c r="J15">
        <v>24966</v>
      </c>
      <c r="K15">
        <v>24320</v>
      </c>
      <c r="L15">
        <v>23895</v>
      </c>
      <c r="M15" s="2">
        <v>5</v>
      </c>
    </row>
    <row r="16" spans="1:14" s="1" customFormat="1" x14ac:dyDescent="0.35">
      <c r="A16" s="1" t="s">
        <v>5</v>
      </c>
      <c r="B16" s="1">
        <v>2</v>
      </c>
      <c r="C16" s="1">
        <v>3</v>
      </c>
      <c r="D16" s="1">
        <v>4</v>
      </c>
      <c r="E16" s="1">
        <v>5</v>
      </c>
      <c r="F16" s="1">
        <v>6</v>
      </c>
      <c r="G16" s="1">
        <v>7</v>
      </c>
      <c r="H16" s="1">
        <v>8</v>
      </c>
      <c r="I16" s="1">
        <v>9</v>
      </c>
      <c r="J16" s="1">
        <v>10</v>
      </c>
      <c r="K16" s="1">
        <v>11</v>
      </c>
      <c r="L16" s="1">
        <v>12</v>
      </c>
      <c r="M16" s="1">
        <v>13</v>
      </c>
    </row>
    <row r="17" spans="1:13" x14ac:dyDescent="0.35">
      <c r="A17">
        <f>100*(A1-MIN($A$1:$L$15))/(MAX($A$1:$L$15)-MIN($A$1:$L$15))</f>
        <v>100</v>
      </c>
      <c r="B17">
        <f t="shared" ref="B17:L17" si="0">100*(B1-MIN($A$1:$L$15))/(MAX($A$1:$L$15)-MIN($A$1:$L$15))</f>
        <v>99.808736637180232</v>
      </c>
      <c r="C17">
        <f t="shared" si="0"/>
        <v>94.811981283513788</v>
      </c>
      <c r="D17">
        <f t="shared" si="0"/>
        <v>82.362785614262776</v>
      </c>
      <c r="E17">
        <f t="shared" si="0"/>
        <v>80.801939956965739</v>
      </c>
      <c r="F17">
        <f t="shared" si="0"/>
        <v>73.448546739984295</v>
      </c>
      <c r="G17">
        <f t="shared" si="0"/>
        <v>55.678131083711875</v>
      </c>
      <c r="H17">
        <f t="shared" si="0"/>
        <v>34.837255370743534</v>
      </c>
      <c r="I17">
        <f t="shared" si="0"/>
        <v>18.989719594248438</v>
      </c>
      <c r="J17">
        <f t="shared" si="0"/>
        <v>5.2563270603504222</v>
      </c>
      <c r="K17">
        <f t="shared" si="0"/>
        <v>4.8806311690973052</v>
      </c>
      <c r="L17">
        <f t="shared" si="0"/>
        <v>9.0474401448136899</v>
      </c>
      <c r="M17" s="2">
        <v>1</v>
      </c>
    </row>
    <row r="18" spans="1:13" x14ac:dyDescent="0.35">
      <c r="A18">
        <f t="shared" ref="A18:L18" si="1">100*(A2-MIN($A$1:$L$15))/(MAX($A$1:$L$15)-MIN($A$1:$L$15))</f>
        <v>86.55691792752485</v>
      </c>
      <c r="B18">
        <f t="shared" si="1"/>
        <v>84.251511322108001</v>
      </c>
      <c r="C18">
        <f t="shared" si="1"/>
        <v>91.656135796987598</v>
      </c>
      <c r="D18">
        <f t="shared" si="1"/>
        <v>82.704327333583791</v>
      </c>
      <c r="E18">
        <f t="shared" si="1"/>
        <v>81.000034154171928</v>
      </c>
      <c r="F18">
        <f t="shared" si="1"/>
        <v>71.822808156016251</v>
      </c>
      <c r="G18">
        <f t="shared" si="1"/>
        <v>56.743741247993441</v>
      </c>
      <c r="H18">
        <f t="shared" si="1"/>
        <v>35.052426653915774</v>
      </c>
      <c r="I18">
        <f t="shared" si="1"/>
        <v>14.71361726834933</v>
      </c>
      <c r="J18">
        <f t="shared" si="1"/>
        <v>6.5541855937702787</v>
      </c>
      <c r="K18">
        <f t="shared" si="1"/>
        <v>3.7911130844632672</v>
      </c>
      <c r="L18">
        <f t="shared" si="1"/>
        <v>0</v>
      </c>
      <c r="M18" s="2">
        <v>1</v>
      </c>
    </row>
    <row r="19" spans="1:13" x14ac:dyDescent="0.35">
      <c r="A19">
        <f t="shared" ref="A19:L19" si="2">100*(A3-MIN($A$1:$L$15))/(MAX($A$1:$L$15)-MIN($A$1:$L$15))</f>
        <v>88.213395266231771</v>
      </c>
      <c r="B19">
        <f t="shared" si="2"/>
        <v>91.382902421530787</v>
      </c>
      <c r="C19">
        <f t="shared" si="2"/>
        <v>87.94699272516138</v>
      </c>
      <c r="D19">
        <f t="shared" si="2"/>
        <v>79.797807302161956</v>
      </c>
      <c r="E19">
        <f t="shared" si="2"/>
        <v>77.205505652515455</v>
      </c>
      <c r="F19">
        <f t="shared" si="2"/>
        <v>69.763311588510533</v>
      </c>
      <c r="G19">
        <f t="shared" si="2"/>
        <v>56.087981146897093</v>
      </c>
      <c r="H19">
        <f t="shared" si="2"/>
        <v>28.535810649270807</v>
      </c>
      <c r="I19">
        <f t="shared" si="2"/>
        <v>14.918542299941938</v>
      </c>
      <c r="J19">
        <f t="shared" si="2"/>
        <v>9.6656306567847263</v>
      </c>
      <c r="K19">
        <f t="shared" si="2"/>
        <v>8.8630076163803402</v>
      </c>
      <c r="L19">
        <f t="shared" si="2"/>
        <v>7.4148707264592373</v>
      </c>
      <c r="M19" s="2">
        <v>1</v>
      </c>
    </row>
    <row r="20" spans="1:13" x14ac:dyDescent="0.35">
      <c r="A20">
        <f t="shared" ref="A20:L20" si="3">100*(A4-MIN($A$1:$L$15))/(MAX($A$1:$L$15)-MIN($A$1:$L$15))</f>
        <v>88.107517333242257</v>
      </c>
      <c r="B20">
        <f t="shared" si="3"/>
        <v>87.858191878137916</v>
      </c>
      <c r="C20">
        <f t="shared" si="3"/>
        <v>88.906724956453431</v>
      </c>
      <c r="D20">
        <f t="shared" si="3"/>
        <v>87.318555961610713</v>
      </c>
      <c r="E20">
        <f t="shared" si="3"/>
        <v>86.044605348543328</v>
      </c>
      <c r="F20">
        <f t="shared" si="3"/>
        <v>76.689777656340723</v>
      </c>
      <c r="G20">
        <f t="shared" si="3"/>
        <v>55.920625704429796</v>
      </c>
      <c r="H20">
        <f t="shared" si="3"/>
        <v>38.215102974828376</v>
      </c>
      <c r="I20">
        <f t="shared" si="3"/>
        <v>15.43085487892346</v>
      </c>
      <c r="J20">
        <f t="shared" si="3"/>
        <v>6.2467980463813655</v>
      </c>
      <c r="K20">
        <f t="shared" si="3"/>
        <v>5.7583933877523137</v>
      </c>
      <c r="L20">
        <f t="shared" si="3"/>
        <v>5.7071621298541615</v>
      </c>
      <c r="M20" s="2">
        <v>2</v>
      </c>
    </row>
    <row r="21" spans="1:13" x14ac:dyDescent="0.35">
      <c r="A21">
        <f t="shared" ref="A21:L21" si="4">100*(A5-MIN($A$1:$L$15))/(MAX($A$1:$L$15)-MIN($A$1:$L$15))</f>
        <v>88.025547320605213</v>
      </c>
      <c r="B21">
        <f t="shared" si="4"/>
        <v>90.624679804638134</v>
      </c>
      <c r="C21">
        <f t="shared" si="4"/>
        <v>84.599883875815436</v>
      </c>
      <c r="D21">
        <f t="shared" si="4"/>
        <v>79.992486082174935</v>
      </c>
      <c r="E21">
        <f t="shared" si="4"/>
        <v>79.312818060726116</v>
      </c>
      <c r="F21">
        <f t="shared" si="4"/>
        <v>64.834864578708292</v>
      </c>
      <c r="G21">
        <f t="shared" si="4"/>
        <v>52.624748112981997</v>
      </c>
      <c r="H21">
        <f t="shared" si="4"/>
        <v>29.379418695993717</v>
      </c>
      <c r="I21">
        <f t="shared" si="4"/>
        <v>13.3576966426449</v>
      </c>
      <c r="J21">
        <f t="shared" si="4"/>
        <v>2.2405136787458586</v>
      </c>
      <c r="K21">
        <f t="shared" si="4"/>
        <v>0.21517128317223949</v>
      </c>
      <c r="L21">
        <f t="shared" si="4"/>
        <v>4.6688753031182761</v>
      </c>
      <c r="M21" s="2">
        <v>2</v>
      </c>
    </row>
    <row r="22" spans="1:13" x14ac:dyDescent="0.35">
      <c r="A22">
        <f t="shared" ref="A22:L22" si="5">100*(A6-MIN($A$1:$L$15))/(MAX($A$1:$L$15)-MIN($A$1:$L$15))</f>
        <v>99.470610335052427</v>
      </c>
      <c r="B22">
        <f t="shared" si="5"/>
        <v>94.665118344205752</v>
      </c>
      <c r="C22">
        <f t="shared" si="5"/>
        <v>94.009358243109389</v>
      </c>
      <c r="D22">
        <f t="shared" si="5"/>
        <v>90.798866081491852</v>
      </c>
      <c r="E22">
        <f t="shared" si="5"/>
        <v>82.403770620581298</v>
      </c>
      <c r="F22">
        <f t="shared" si="5"/>
        <v>74.992315311315281</v>
      </c>
      <c r="G22">
        <f t="shared" si="5"/>
        <v>58.034768947026876</v>
      </c>
      <c r="H22">
        <f t="shared" si="5"/>
        <v>28.904675706137503</v>
      </c>
      <c r="I22">
        <f t="shared" si="5"/>
        <v>11.673895966392294</v>
      </c>
      <c r="J22">
        <f t="shared" si="5"/>
        <v>6.4790464155196554</v>
      </c>
      <c r="K22">
        <f t="shared" si="5"/>
        <v>8.4360804672290719</v>
      </c>
      <c r="L22">
        <f t="shared" si="5"/>
        <v>8.7776221865500865</v>
      </c>
      <c r="M22" s="2">
        <v>2</v>
      </c>
    </row>
    <row r="23" spans="1:13" x14ac:dyDescent="0.35">
      <c r="A23">
        <f t="shared" ref="A23:L23" si="6">100*(A7-MIN($A$1:$L$15))/(MAX($A$1:$L$15)-MIN($A$1:$L$15))</f>
        <v>94.982752143174295</v>
      </c>
      <c r="B23">
        <f t="shared" si="6"/>
        <v>88.582260323098467</v>
      </c>
      <c r="C23">
        <f t="shared" si="6"/>
        <v>92.62952969705249</v>
      </c>
      <c r="D23">
        <f t="shared" si="6"/>
        <v>91.516103692065983</v>
      </c>
      <c r="E23">
        <f t="shared" si="6"/>
        <v>88.288534444482394</v>
      </c>
      <c r="F23">
        <f t="shared" si="6"/>
        <v>75.330441613443085</v>
      </c>
      <c r="G23">
        <f t="shared" si="6"/>
        <v>68.827487277570953</v>
      </c>
      <c r="H23">
        <f t="shared" si="6"/>
        <v>43.184534990949146</v>
      </c>
      <c r="I23">
        <f t="shared" si="6"/>
        <v>16.530619215137129</v>
      </c>
      <c r="J23">
        <f t="shared" si="6"/>
        <v>6.984528160114758</v>
      </c>
      <c r="K23">
        <f t="shared" si="6"/>
        <v>6.7932647972949898</v>
      </c>
      <c r="L23">
        <f t="shared" si="6"/>
        <v>7.9852453977253317</v>
      </c>
      <c r="M23" s="2">
        <v>3</v>
      </c>
    </row>
    <row r="24" spans="1:13" x14ac:dyDescent="0.35">
      <c r="A24">
        <f t="shared" ref="A24:L24" si="7">100*(A8-MIN($A$1:$L$15))/(MAX($A$1:$L$15)-MIN($A$1:$L$15))</f>
        <v>92.042077939820345</v>
      </c>
      <c r="B24">
        <f t="shared" si="7"/>
        <v>90.733973154820859</v>
      </c>
      <c r="C24">
        <f t="shared" si="7"/>
        <v>96.564090303630593</v>
      </c>
      <c r="D24">
        <f t="shared" si="7"/>
        <v>88.285119027289184</v>
      </c>
      <c r="E24">
        <f t="shared" si="7"/>
        <v>86.297346220840879</v>
      </c>
      <c r="F24">
        <f t="shared" si="7"/>
        <v>73.844735134396672</v>
      </c>
      <c r="G24">
        <f t="shared" si="7"/>
        <v>62.744629256463675</v>
      </c>
      <c r="H24">
        <f t="shared" si="7"/>
        <v>35.6672017486936</v>
      </c>
      <c r="I24">
        <f t="shared" si="7"/>
        <v>12.288671061170122</v>
      </c>
      <c r="J24">
        <f t="shared" si="7"/>
        <v>8.9791318009494852</v>
      </c>
      <c r="K24">
        <f t="shared" si="7"/>
        <v>2.0458348987328803</v>
      </c>
      <c r="L24">
        <f t="shared" si="7"/>
        <v>6.9264660678301855</v>
      </c>
      <c r="M24" s="2">
        <v>3</v>
      </c>
    </row>
    <row r="25" spans="1:13" x14ac:dyDescent="0.35">
      <c r="A25">
        <f t="shared" ref="A25:L25" si="8">100*(A9-MIN($A$1:$L$15))/(MAX($A$1:$L$15)-MIN($A$1:$L$15))</f>
        <v>90.324123091635641</v>
      </c>
      <c r="B25">
        <f t="shared" si="8"/>
        <v>92.650022200211751</v>
      </c>
      <c r="C25">
        <f t="shared" si="8"/>
        <v>90.488063116909728</v>
      </c>
      <c r="D25">
        <f t="shared" si="8"/>
        <v>94.928105468082933</v>
      </c>
      <c r="E25">
        <f t="shared" si="8"/>
        <v>79.336725981078587</v>
      </c>
      <c r="F25">
        <f t="shared" si="8"/>
        <v>68.738686430547489</v>
      </c>
      <c r="G25">
        <f t="shared" si="8"/>
        <v>61.767819939205573</v>
      </c>
      <c r="H25">
        <f t="shared" si="8"/>
        <v>34.799685781618223</v>
      </c>
      <c r="I25">
        <f t="shared" si="8"/>
        <v>13.757300454250487</v>
      </c>
      <c r="J25">
        <f t="shared" si="8"/>
        <v>8.2892175279210356</v>
      </c>
      <c r="K25">
        <f t="shared" si="8"/>
        <v>0.38252672563953688</v>
      </c>
      <c r="L25">
        <f t="shared" si="8"/>
        <v>3.6715734827009121</v>
      </c>
      <c r="M25" s="2">
        <v>3</v>
      </c>
    </row>
    <row r="26" spans="1:13" x14ac:dyDescent="0.35">
      <c r="A26">
        <f t="shared" ref="A26:L26" si="9">100*(A10-MIN($A$1:$L$15))/(MAX($A$1:$L$15)-MIN($A$1:$L$15))</f>
        <v>93.681478192561215</v>
      </c>
      <c r="B26">
        <f t="shared" si="9"/>
        <v>85.706479046415524</v>
      </c>
      <c r="C26">
        <f t="shared" si="9"/>
        <v>86.874551726493394</v>
      </c>
      <c r="D26">
        <f t="shared" si="9"/>
        <v>97.882441340209709</v>
      </c>
      <c r="E26">
        <f t="shared" si="9"/>
        <v>80.453567403258305</v>
      </c>
      <c r="F26">
        <f t="shared" si="9"/>
        <v>67.990710065234467</v>
      </c>
      <c r="G26">
        <f t="shared" si="9"/>
        <v>45.787082892175277</v>
      </c>
      <c r="H26">
        <f t="shared" si="9"/>
        <v>16.175415827043274</v>
      </c>
      <c r="I26">
        <f t="shared" si="9"/>
        <v>7.3499777997882445</v>
      </c>
      <c r="J26">
        <f t="shared" si="9"/>
        <v>6.5507701765770685</v>
      </c>
      <c r="K26">
        <f t="shared" si="9"/>
        <v>3.8662522627138904</v>
      </c>
      <c r="L26">
        <f t="shared" si="9"/>
        <v>7.8657057959629766</v>
      </c>
      <c r="M26" s="2">
        <v>4</v>
      </c>
    </row>
    <row r="27" spans="1:13" x14ac:dyDescent="0.35">
      <c r="A27">
        <f t="shared" ref="A27:L27" si="10">100*(A11-MIN($A$1:$L$15))/(MAX($A$1:$L$15)-MIN($A$1:$L$15))</f>
        <v>89.603470063868301</v>
      </c>
      <c r="B27">
        <f t="shared" si="10"/>
        <v>75.251887017999252</v>
      </c>
      <c r="C27">
        <f t="shared" si="10"/>
        <v>82.188599337409059</v>
      </c>
      <c r="D27">
        <f t="shared" si="10"/>
        <v>78.045698282045151</v>
      </c>
      <c r="E27">
        <f t="shared" si="10"/>
        <v>70.514703371016765</v>
      </c>
      <c r="F27">
        <f t="shared" si="10"/>
        <v>61.976160387991392</v>
      </c>
      <c r="G27">
        <f t="shared" si="10"/>
        <v>41.09771508589774</v>
      </c>
      <c r="H27">
        <f t="shared" si="10"/>
        <v>17.336657672734724</v>
      </c>
      <c r="I27">
        <f t="shared" si="10"/>
        <v>7.4729328187438098</v>
      </c>
      <c r="J27">
        <f t="shared" si="10"/>
        <v>5.5056525154547629</v>
      </c>
      <c r="K27">
        <f t="shared" si="10"/>
        <v>7.7325045254277809</v>
      </c>
      <c r="L27">
        <f t="shared" si="10"/>
        <v>5.1948495508726387</v>
      </c>
      <c r="M27" s="2">
        <v>4</v>
      </c>
    </row>
    <row r="28" spans="1:13" x14ac:dyDescent="0.35">
      <c r="A28">
        <f t="shared" ref="A28:L28" si="11">100*(A12-MIN($A$1:$L$15))/(MAX($A$1:$L$15)-MIN($A$1:$L$15))</f>
        <v>88.19290276307251</v>
      </c>
      <c r="B28">
        <f t="shared" si="11"/>
        <v>89.11506540523925</v>
      </c>
      <c r="C28">
        <f t="shared" si="11"/>
        <v>91.283855322927693</v>
      </c>
      <c r="D28">
        <f t="shared" si="11"/>
        <v>90.99012944431162</v>
      </c>
      <c r="E28">
        <f t="shared" si="11"/>
        <v>82.868267358857878</v>
      </c>
      <c r="F28">
        <f t="shared" si="11"/>
        <v>60.446053485433247</v>
      </c>
      <c r="G28">
        <f t="shared" si="11"/>
        <v>44.21599098329861</v>
      </c>
      <c r="H28">
        <f t="shared" si="11"/>
        <v>15.615287407356808</v>
      </c>
      <c r="I28">
        <f t="shared" si="11"/>
        <v>3.3027084258342159</v>
      </c>
      <c r="J28">
        <f t="shared" si="11"/>
        <v>6.2536288807677858</v>
      </c>
      <c r="K28">
        <f t="shared" si="11"/>
        <v>2.7801495952730626</v>
      </c>
      <c r="L28">
        <f t="shared" si="11"/>
        <v>3.9687147785101948</v>
      </c>
      <c r="M28" s="2">
        <v>4</v>
      </c>
    </row>
    <row r="29" spans="1:13" x14ac:dyDescent="0.35">
      <c r="A29">
        <f t="shared" ref="A29:L29" si="12">100*(A13-MIN($A$1:$L$15))/(MAX($A$1:$L$15)-MIN($A$1:$L$15))</f>
        <v>83.687967485228327</v>
      </c>
      <c r="B29">
        <f t="shared" si="12"/>
        <v>93.753201953618628</v>
      </c>
      <c r="C29">
        <f t="shared" si="12"/>
        <v>81.245944192083059</v>
      </c>
      <c r="D29">
        <f t="shared" si="12"/>
        <v>81.324498787526892</v>
      </c>
      <c r="E29">
        <f t="shared" si="12"/>
        <v>77.140612725844463</v>
      </c>
      <c r="F29">
        <f t="shared" si="12"/>
        <v>54.062638751323476</v>
      </c>
      <c r="G29">
        <f t="shared" si="12"/>
        <v>41.217254687660095</v>
      </c>
      <c r="H29">
        <f t="shared" si="12"/>
        <v>15.482086136821612</v>
      </c>
      <c r="I29">
        <f t="shared" si="12"/>
        <v>8.1560162573858399</v>
      </c>
      <c r="J29">
        <f t="shared" si="12"/>
        <v>2.5581474777144027</v>
      </c>
      <c r="K29">
        <f t="shared" si="12"/>
        <v>2.5547320605211925</v>
      </c>
      <c r="L29">
        <f t="shared" si="12"/>
        <v>2.8894429454557873</v>
      </c>
      <c r="M29" s="2">
        <v>5</v>
      </c>
    </row>
    <row r="30" spans="1:13" x14ac:dyDescent="0.35">
      <c r="A30">
        <f t="shared" ref="A30:L30" si="13">100*(A14-MIN($A$1:$L$15))/(MAX($A$1:$L$15)-MIN($A$1:$L$15))</f>
        <v>90.184090986714025</v>
      </c>
      <c r="B30">
        <f t="shared" si="13"/>
        <v>91.652720379794388</v>
      </c>
      <c r="C30">
        <f t="shared" si="13"/>
        <v>87.301478875644662</v>
      </c>
      <c r="D30">
        <f t="shared" si="13"/>
        <v>78.94736842105263</v>
      </c>
      <c r="E30">
        <f t="shared" si="13"/>
        <v>74.27849311793436</v>
      </c>
      <c r="F30">
        <f t="shared" si="13"/>
        <v>67.153932852897981</v>
      </c>
      <c r="G30">
        <f t="shared" si="13"/>
        <v>44.806858157723966</v>
      </c>
      <c r="H30">
        <f t="shared" si="13"/>
        <v>21.209740769835037</v>
      </c>
      <c r="I30">
        <f t="shared" si="13"/>
        <v>7.735919942620991</v>
      </c>
      <c r="J30">
        <f t="shared" si="13"/>
        <v>2.2200211755865977</v>
      </c>
      <c r="K30">
        <f t="shared" si="13"/>
        <v>0.5123125789815226</v>
      </c>
      <c r="L30">
        <f t="shared" si="13"/>
        <v>5.5056525154547629</v>
      </c>
      <c r="M30" s="2">
        <v>5</v>
      </c>
    </row>
    <row r="31" spans="1:13" x14ac:dyDescent="0.35">
      <c r="A31">
        <f t="shared" ref="A31:L31" si="14">100*(A15-MIN($A$1:$L$15))/(MAX($A$1:$L$15)-MIN($A$1:$L$15))</f>
        <v>85.658663205710582</v>
      </c>
      <c r="B31">
        <f t="shared" si="14"/>
        <v>87.837699374978655</v>
      </c>
      <c r="C31">
        <f t="shared" si="14"/>
        <v>90.600771884285663</v>
      </c>
      <c r="D31">
        <f t="shared" si="14"/>
        <v>91.785921650329584</v>
      </c>
      <c r="E31">
        <f t="shared" si="14"/>
        <v>80.883909969602783</v>
      </c>
      <c r="F31">
        <f t="shared" si="14"/>
        <v>69.548140305338293</v>
      </c>
      <c r="G31">
        <f t="shared" si="14"/>
        <v>44.619010212097407</v>
      </c>
      <c r="H31">
        <f t="shared" si="14"/>
        <v>22.210458007445609</v>
      </c>
      <c r="I31">
        <f t="shared" si="14"/>
        <v>8.0023224836913833</v>
      </c>
      <c r="J31">
        <f t="shared" si="14"/>
        <v>4.8020765736534718</v>
      </c>
      <c r="K31">
        <f t="shared" si="14"/>
        <v>2.5957170668397143</v>
      </c>
      <c r="L31">
        <f t="shared" si="14"/>
        <v>1.1441647597254005</v>
      </c>
      <c r="M31" s="2">
        <v>5</v>
      </c>
    </row>
    <row r="32" spans="1:13" x14ac:dyDescent="0.35">
      <c r="A32" t="s">
        <v>6</v>
      </c>
      <c r="M32" s="2"/>
    </row>
    <row r="33" spans="1:15" x14ac:dyDescent="0.35">
      <c r="A33" s="6">
        <f>AVERAGE(A17:A19)</f>
        <v>91.590104397918878</v>
      </c>
      <c r="B33" s="6">
        <f t="shared" ref="B33:L33" si="15">AVERAGE(B17:B19)</f>
        <v>91.814383460273007</v>
      </c>
      <c r="C33" s="6">
        <f t="shared" si="15"/>
        <v>91.471703268554236</v>
      </c>
      <c r="D33" s="6">
        <f t="shared" si="15"/>
        <v>81.621640083336175</v>
      </c>
      <c r="E33" s="6">
        <f t="shared" si="15"/>
        <v>79.669159921217712</v>
      </c>
      <c r="F33" s="6">
        <f t="shared" si="15"/>
        <v>71.678222161503697</v>
      </c>
      <c r="G33" s="6">
        <f t="shared" si="15"/>
        <v>56.169951159534129</v>
      </c>
      <c r="H33" s="6">
        <f t="shared" si="15"/>
        <v>32.8084975579767</v>
      </c>
      <c r="I33" s="6">
        <f t="shared" si="15"/>
        <v>16.207293054179903</v>
      </c>
      <c r="J33" s="6">
        <f t="shared" si="15"/>
        <v>7.1587144369684763</v>
      </c>
      <c r="K33" s="6">
        <f t="shared" si="15"/>
        <v>5.8449172899803044</v>
      </c>
      <c r="L33" s="6">
        <f t="shared" si="15"/>
        <v>5.4874369570909751</v>
      </c>
      <c r="M33" s="2">
        <v>1</v>
      </c>
      <c r="N33" s="4" t="s">
        <v>3</v>
      </c>
    </row>
    <row r="34" spans="1:15" x14ac:dyDescent="0.35">
      <c r="A34" s="6">
        <f>STDEV(A17:A19)</f>
        <v>7.3301253278398999</v>
      </c>
      <c r="B34" s="6">
        <f t="shared" ref="B34:L34" si="16">STDEV(B17:B19)</f>
        <v>7.7875828593393859</v>
      </c>
      <c r="C34" s="6">
        <f t="shared" si="16"/>
        <v>3.4362084475094941</v>
      </c>
      <c r="D34" s="6">
        <f t="shared" si="16"/>
        <v>1.5886904030595297</v>
      </c>
      <c r="E34" s="6">
        <f t="shared" si="16"/>
        <v>2.1358849675281699</v>
      </c>
      <c r="F34" s="6">
        <f t="shared" si="16"/>
        <v>1.8468671751837893</v>
      </c>
      <c r="G34" s="6">
        <f t="shared" si="16"/>
        <v>0.53751331870367092</v>
      </c>
      <c r="H34" s="6">
        <f t="shared" si="16"/>
        <v>3.7018191116187142</v>
      </c>
      <c r="I34" s="6">
        <f t="shared" si="16"/>
        <v>2.4118295245107184</v>
      </c>
      <c r="J34" s="6">
        <f t="shared" si="16"/>
        <v>2.2659613617791532</v>
      </c>
      <c r="K34" s="6">
        <f t="shared" si="16"/>
        <v>2.6699090486228672</v>
      </c>
      <c r="L34" s="6">
        <f t="shared" si="16"/>
        <v>4.8218558662585975</v>
      </c>
      <c r="M34" s="2">
        <v>1</v>
      </c>
      <c r="N34" s="5" t="s">
        <v>4</v>
      </c>
    </row>
    <row r="35" spans="1:15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2">
        <v>1</v>
      </c>
    </row>
    <row r="36" spans="1:15" x14ac:dyDescent="0.35">
      <c r="A36" s="6">
        <f>AVERAGE(A20:A22)</f>
        <v>91.867891662966642</v>
      </c>
      <c r="B36" s="6">
        <f t="shared" ref="B36:L36" si="17">AVERAGE(B20:B22)</f>
        <v>91.049330008993934</v>
      </c>
      <c r="C36" s="6">
        <f t="shared" si="17"/>
        <v>89.171989025126081</v>
      </c>
      <c r="D36" s="6">
        <f t="shared" si="17"/>
        <v>86.036636041759166</v>
      </c>
      <c r="E36" s="6">
        <f t="shared" si="17"/>
        <v>82.587064676616919</v>
      </c>
      <c r="F36" s="6">
        <f t="shared" si="17"/>
        <v>72.172319182121427</v>
      </c>
      <c r="G36" s="6">
        <f t="shared" si="17"/>
        <v>55.526714254812894</v>
      </c>
      <c r="H36" s="6">
        <f t="shared" si="17"/>
        <v>32.166399125653193</v>
      </c>
      <c r="I36" s="6">
        <f t="shared" si="17"/>
        <v>13.487482495986884</v>
      </c>
      <c r="J36" s="6">
        <f t="shared" si="17"/>
        <v>4.9887860468822929</v>
      </c>
      <c r="K36" s="6">
        <f t="shared" si="17"/>
        <v>4.803215046051208</v>
      </c>
      <c r="L36" s="6">
        <f t="shared" si="17"/>
        <v>6.3845532065075083</v>
      </c>
      <c r="M36" s="2">
        <v>2</v>
      </c>
      <c r="N36" s="4" t="s">
        <v>3</v>
      </c>
    </row>
    <row r="37" spans="1:15" x14ac:dyDescent="0.35">
      <c r="A37" s="6">
        <f>STDEV(A20:A22)</f>
        <v>6.5842750683658728</v>
      </c>
      <c r="B37" s="6">
        <f t="shared" ref="B37:L37" si="18">STDEV(B20:B22)</f>
        <v>3.4232744303748506</v>
      </c>
      <c r="C37" s="6">
        <f t="shared" si="18"/>
        <v>4.710342422455831</v>
      </c>
      <c r="D37" s="6">
        <f t="shared" si="18"/>
        <v>5.5160630147862992</v>
      </c>
      <c r="E37" s="6">
        <f t="shared" si="18"/>
        <v>3.3696346323211137</v>
      </c>
      <c r="F37" s="6">
        <f t="shared" si="18"/>
        <v>6.4108520998426046</v>
      </c>
      <c r="G37" s="6">
        <f t="shared" si="18"/>
        <v>2.7264365073854884</v>
      </c>
      <c r="H37" s="6">
        <f t="shared" si="18"/>
        <v>5.2437066010480251</v>
      </c>
      <c r="I37" s="6">
        <f t="shared" si="18"/>
        <v>1.8818390854182196</v>
      </c>
      <c r="J37" s="6">
        <f t="shared" si="18"/>
        <v>2.3829048624186684</v>
      </c>
      <c r="K37" s="6">
        <f t="shared" si="18"/>
        <v>4.1928643194680957</v>
      </c>
      <c r="L37" s="6">
        <f t="shared" si="18"/>
        <v>2.1364911048433664</v>
      </c>
      <c r="M37" s="2">
        <v>2</v>
      </c>
      <c r="N37" s="5" t="s">
        <v>4</v>
      </c>
    </row>
    <row r="38" spans="1:15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2">
        <v>2</v>
      </c>
    </row>
    <row r="39" spans="1:15" x14ac:dyDescent="0.35">
      <c r="A39" s="6">
        <f>AVERAGE(A23:A25)</f>
        <v>92.449651058210108</v>
      </c>
      <c r="B39" s="6">
        <f t="shared" ref="B39:L39" si="19">AVERAGE(B23:B25)</f>
        <v>90.655418559377026</v>
      </c>
      <c r="C39" s="6">
        <f t="shared" si="19"/>
        <v>93.227227705864266</v>
      </c>
      <c r="D39" s="6">
        <f t="shared" si="19"/>
        <v>91.576442729146038</v>
      </c>
      <c r="E39" s="6">
        <f t="shared" si="19"/>
        <v>84.640868882133944</v>
      </c>
      <c r="F39" s="6">
        <f t="shared" si="19"/>
        <v>72.637954392795749</v>
      </c>
      <c r="G39" s="6">
        <f t="shared" si="19"/>
        <v>64.446645491080062</v>
      </c>
      <c r="H39" s="6">
        <f t="shared" si="19"/>
        <v>37.883807507086992</v>
      </c>
      <c r="I39" s="6">
        <f t="shared" si="19"/>
        <v>14.192196910185913</v>
      </c>
      <c r="J39" s="6">
        <f t="shared" si="19"/>
        <v>8.0842924963284251</v>
      </c>
      <c r="K39" s="6">
        <f t="shared" si="19"/>
        <v>3.0738754738891352</v>
      </c>
      <c r="L39" s="6">
        <f t="shared" si="19"/>
        <v>6.1944283160854754</v>
      </c>
      <c r="M39" s="2">
        <v>3</v>
      </c>
      <c r="N39" s="4" t="s">
        <v>3</v>
      </c>
    </row>
    <row r="40" spans="1:15" x14ac:dyDescent="0.35">
      <c r="A40" s="6">
        <f>STDEV(A23:A25)</f>
        <v>2.3559059924125672</v>
      </c>
      <c r="B40" s="6">
        <f t="shared" ref="B40:L40" si="20">STDEV(B23:B25)</f>
        <v>2.0350183759792086</v>
      </c>
      <c r="C40" s="6">
        <f t="shared" si="20"/>
        <v>3.0817947329025568</v>
      </c>
      <c r="D40" s="6">
        <f t="shared" si="20"/>
        <v>3.3219042449608946</v>
      </c>
      <c r="E40" s="6">
        <f t="shared" si="20"/>
        <v>4.7001762277178711</v>
      </c>
      <c r="F40" s="6">
        <f t="shared" si="20"/>
        <v>3.4576073976858468</v>
      </c>
      <c r="G40" s="6">
        <f t="shared" si="20"/>
        <v>3.8252281212065053</v>
      </c>
      <c r="H40" s="6">
        <f t="shared" si="20"/>
        <v>4.611011806741705</v>
      </c>
      <c r="I40" s="6">
        <f t="shared" si="20"/>
        <v>2.15415464411794</v>
      </c>
      <c r="J40" s="6">
        <f t="shared" si="20"/>
        <v>1.0129692110018491</v>
      </c>
      <c r="K40" s="6">
        <f t="shared" si="20"/>
        <v>3.3267162824576548</v>
      </c>
      <c r="L40" s="6">
        <f t="shared" si="20"/>
        <v>2.2480771339307326</v>
      </c>
      <c r="M40" s="2">
        <v>3</v>
      </c>
      <c r="N40" s="5" t="s">
        <v>4</v>
      </c>
    </row>
    <row r="41" spans="1:15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2">
        <v>3</v>
      </c>
    </row>
    <row r="42" spans="1:15" x14ac:dyDescent="0.35">
      <c r="A42" s="6">
        <f>AVERAGE(A26:A28)</f>
        <v>90.49261700650068</v>
      </c>
      <c r="B42" s="6">
        <f t="shared" ref="B42:L42" si="21">AVERAGE(B26:B28)</f>
        <v>83.35781048988467</v>
      </c>
      <c r="C42" s="6">
        <f t="shared" si="21"/>
        <v>86.78233546227672</v>
      </c>
      <c r="D42" s="6">
        <f t="shared" si="21"/>
        <v>88.972756355522165</v>
      </c>
      <c r="E42" s="6">
        <f t="shared" si="21"/>
        <v>77.945512711044316</v>
      </c>
      <c r="F42" s="6">
        <f t="shared" si="21"/>
        <v>63.470974646219702</v>
      </c>
      <c r="G42" s="6">
        <f t="shared" si="21"/>
        <v>43.700262987123871</v>
      </c>
      <c r="H42" s="6">
        <f t="shared" si="21"/>
        <v>16.375786969044935</v>
      </c>
      <c r="I42" s="6">
        <f t="shared" si="21"/>
        <v>6.0418730147887567</v>
      </c>
      <c r="J42" s="6">
        <f t="shared" si="21"/>
        <v>6.1033505242665385</v>
      </c>
      <c r="K42" s="6">
        <f t="shared" si="21"/>
        <v>4.7929687944715775</v>
      </c>
      <c r="L42" s="6">
        <f t="shared" si="21"/>
        <v>5.6764233751152702</v>
      </c>
      <c r="M42" s="2">
        <v>4</v>
      </c>
      <c r="N42" s="4" t="s">
        <v>3</v>
      </c>
    </row>
    <row r="43" spans="1:15" x14ac:dyDescent="0.35">
      <c r="A43" s="6">
        <f>STDEV(A26:A28)</f>
        <v>2.8502722283127895</v>
      </c>
      <c r="B43" s="6">
        <f t="shared" ref="B43:L43" si="22">STDEV(B26:B28)</f>
        <v>7.2238571234789157</v>
      </c>
      <c r="C43" s="6">
        <f t="shared" si="22"/>
        <v>4.5483291701533313</v>
      </c>
      <c r="D43" s="6">
        <f t="shared" si="22"/>
        <v>10.071069427992187</v>
      </c>
      <c r="E43" s="6">
        <f t="shared" si="22"/>
        <v>6.5475483621561485</v>
      </c>
      <c r="F43" s="6">
        <f t="shared" si="22"/>
        <v>3.9882719286348132</v>
      </c>
      <c r="G43" s="6">
        <f t="shared" si="22"/>
        <v>2.3868439685423213</v>
      </c>
      <c r="H43" s="6">
        <f t="shared" si="22"/>
        <v>0.87800361248806724</v>
      </c>
      <c r="I43" s="6">
        <f t="shared" si="22"/>
        <v>2.3729826101782669</v>
      </c>
      <c r="J43" s="6">
        <f t="shared" si="22"/>
        <v>0.53852151277546612</v>
      </c>
      <c r="K43" s="6">
        <f t="shared" si="22"/>
        <v>2.6029901049046824</v>
      </c>
      <c r="L43" s="6">
        <f t="shared" si="22"/>
        <v>1.9926288562282897</v>
      </c>
      <c r="M43" s="2">
        <v>4</v>
      </c>
      <c r="N43" s="5" t="s">
        <v>4</v>
      </c>
    </row>
    <row r="44" spans="1:15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2">
        <v>4</v>
      </c>
    </row>
    <row r="45" spans="1:15" x14ac:dyDescent="0.35">
      <c r="A45" s="6">
        <f>AVERAGE(A29:A31)</f>
        <v>86.51024055921765</v>
      </c>
      <c r="B45" s="6">
        <f t="shared" ref="B45:L45" si="23">AVERAGE(B29:B31)</f>
        <v>91.081207236130538</v>
      </c>
      <c r="C45" s="6">
        <f t="shared" si="23"/>
        <v>86.382731650671133</v>
      </c>
      <c r="D45" s="6">
        <f t="shared" si="23"/>
        <v>84.019262952969697</v>
      </c>
      <c r="E45" s="6">
        <f t="shared" si="23"/>
        <v>77.434338604460535</v>
      </c>
      <c r="F45" s="6">
        <f t="shared" si="23"/>
        <v>63.588237303186588</v>
      </c>
      <c r="G45" s="6">
        <f t="shared" si="23"/>
        <v>43.547707685827156</v>
      </c>
      <c r="H45" s="6">
        <f t="shared" si="23"/>
        <v>19.634094971367421</v>
      </c>
      <c r="I45" s="6">
        <f t="shared" si="23"/>
        <v>7.9647528945660717</v>
      </c>
      <c r="J45" s="6">
        <f t="shared" si="23"/>
        <v>3.1934150756514903</v>
      </c>
      <c r="K45" s="6">
        <f t="shared" si="23"/>
        <v>1.8875872354474765</v>
      </c>
      <c r="L45" s="6">
        <f t="shared" si="23"/>
        <v>3.1797534068786502</v>
      </c>
      <c r="M45" s="2">
        <v>5</v>
      </c>
      <c r="N45" s="4" t="s">
        <v>3</v>
      </c>
    </row>
    <row r="46" spans="1:15" x14ac:dyDescent="0.35">
      <c r="A46" s="6">
        <f>STDEV(A29:A31)</f>
        <v>3.3307346229312946</v>
      </c>
      <c r="B46" s="6">
        <f t="shared" ref="B46:L46" si="24">STDEV(B29:B31)</f>
        <v>2.9988769805561262</v>
      </c>
      <c r="C46" s="6">
        <f t="shared" si="24"/>
        <v>4.744604581548141</v>
      </c>
      <c r="D46" s="6">
        <f t="shared" si="24"/>
        <v>6.8303314477234878</v>
      </c>
      <c r="E46" s="6">
        <f t="shared" si="24"/>
        <v>3.3124898663849351</v>
      </c>
      <c r="F46" s="6">
        <f t="shared" si="24"/>
        <v>8.3358159864389823</v>
      </c>
      <c r="G46" s="6">
        <f t="shared" si="24"/>
        <v>2.020415822341632</v>
      </c>
      <c r="H46" s="6">
        <f t="shared" si="24"/>
        <v>3.6303914071381458</v>
      </c>
      <c r="I46" s="6">
        <f t="shared" si="24"/>
        <v>0.21255313204005091</v>
      </c>
      <c r="J46" s="6">
        <f t="shared" si="24"/>
        <v>1.4033624657988915</v>
      </c>
      <c r="K46" s="6">
        <f t="shared" si="24"/>
        <v>1.1911990716181287</v>
      </c>
      <c r="L46" s="6">
        <f t="shared" si="24"/>
        <v>2.1951888264686832</v>
      </c>
      <c r="M46" s="2">
        <v>5</v>
      </c>
      <c r="N46" s="5" t="s">
        <v>4</v>
      </c>
    </row>
    <row r="47" spans="1:15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2">
        <v>5</v>
      </c>
    </row>
    <row r="48" spans="1:15" x14ac:dyDescent="0.35">
      <c r="O48" s="2"/>
    </row>
    <row r="49" spans="1:14" x14ac:dyDescent="0.35">
      <c r="A49" t="s">
        <v>2</v>
      </c>
      <c r="M49" t="s">
        <v>0</v>
      </c>
      <c r="N49" s="3" t="s">
        <v>1</v>
      </c>
    </row>
    <row r="50" spans="1:14" x14ac:dyDescent="0.35">
      <c r="A50">
        <f t="shared" ref="A50:A64" si="25">(1000000000/3)*M50/$N$50</f>
        <v>26155.943969257467</v>
      </c>
      <c r="B50">
        <f>A50/3</f>
        <v>8718.6479897524896</v>
      </c>
      <c r="C50">
        <f t="shared" ref="C50:L50" si="26">B50/3</f>
        <v>2906.2159965841633</v>
      </c>
      <c r="D50">
        <f t="shared" si="26"/>
        <v>968.73866552805441</v>
      </c>
      <c r="E50">
        <f t="shared" si="26"/>
        <v>322.91288850935149</v>
      </c>
      <c r="F50">
        <f t="shared" si="26"/>
        <v>107.63762950311717</v>
      </c>
      <c r="G50">
        <f t="shared" si="26"/>
        <v>35.879209834372389</v>
      </c>
      <c r="H50">
        <f t="shared" si="26"/>
        <v>11.959736611457464</v>
      </c>
      <c r="I50">
        <f t="shared" si="26"/>
        <v>3.9865788704858214</v>
      </c>
      <c r="J50">
        <f t="shared" si="26"/>
        <v>1.3288596234952739</v>
      </c>
      <c r="K50">
        <f t="shared" si="26"/>
        <v>0.44295320783175796</v>
      </c>
      <c r="L50">
        <f t="shared" si="26"/>
        <v>0.14765106927725266</v>
      </c>
      <c r="M50" s="2">
        <v>21.1</v>
      </c>
      <c r="N50" s="3">
        <v>268900</v>
      </c>
    </row>
    <row r="51" spans="1:14" x14ac:dyDescent="0.35">
      <c r="A51">
        <f t="shared" si="25"/>
        <v>26155.943969257467</v>
      </c>
      <c r="B51">
        <f t="shared" ref="B51:L64" si="27">A51/3</f>
        <v>8718.6479897524896</v>
      </c>
      <c r="C51">
        <f t="shared" si="27"/>
        <v>2906.2159965841633</v>
      </c>
      <c r="D51">
        <f t="shared" si="27"/>
        <v>968.73866552805441</v>
      </c>
      <c r="E51">
        <f t="shared" si="27"/>
        <v>322.91288850935149</v>
      </c>
      <c r="F51">
        <f t="shared" si="27"/>
        <v>107.63762950311717</v>
      </c>
      <c r="G51">
        <f t="shared" si="27"/>
        <v>35.879209834372389</v>
      </c>
      <c r="H51">
        <f t="shared" si="27"/>
        <v>11.959736611457464</v>
      </c>
      <c r="I51">
        <f t="shared" si="27"/>
        <v>3.9865788704858214</v>
      </c>
      <c r="J51">
        <f t="shared" si="27"/>
        <v>1.3288596234952739</v>
      </c>
      <c r="K51">
        <f t="shared" si="27"/>
        <v>0.44295320783175796</v>
      </c>
      <c r="L51">
        <f t="shared" si="27"/>
        <v>0.14765106927725266</v>
      </c>
      <c r="M51" s="2">
        <f>M50</f>
        <v>21.1</v>
      </c>
      <c r="N51" s="2"/>
    </row>
    <row r="52" spans="1:14" x14ac:dyDescent="0.35">
      <c r="A52">
        <f t="shared" si="25"/>
        <v>26155.943969257467</v>
      </c>
      <c r="B52">
        <f t="shared" si="27"/>
        <v>8718.6479897524896</v>
      </c>
      <c r="C52">
        <f t="shared" si="27"/>
        <v>2906.2159965841633</v>
      </c>
      <c r="D52">
        <f t="shared" si="27"/>
        <v>968.73866552805441</v>
      </c>
      <c r="E52">
        <f t="shared" si="27"/>
        <v>322.91288850935149</v>
      </c>
      <c r="F52">
        <f t="shared" si="27"/>
        <v>107.63762950311717</v>
      </c>
      <c r="G52">
        <f t="shared" si="27"/>
        <v>35.879209834372389</v>
      </c>
      <c r="H52">
        <f t="shared" si="27"/>
        <v>11.959736611457464</v>
      </c>
      <c r="I52">
        <f t="shared" si="27"/>
        <v>3.9865788704858214</v>
      </c>
      <c r="J52">
        <f t="shared" si="27"/>
        <v>1.3288596234952739</v>
      </c>
      <c r="K52">
        <f t="shared" si="27"/>
        <v>0.44295320783175796</v>
      </c>
      <c r="L52">
        <f t="shared" si="27"/>
        <v>0.14765106927725266</v>
      </c>
      <c r="M52" s="2">
        <f>M50</f>
        <v>21.1</v>
      </c>
      <c r="N52" s="2"/>
    </row>
    <row r="53" spans="1:14" x14ac:dyDescent="0.35">
      <c r="A53">
        <f t="shared" si="25"/>
        <v>26279.905789016979</v>
      </c>
      <c r="B53">
        <f t="shared" si="27"/>
        <v>8759.9685963389929</v>
      </c>
      <c r="C53">
        <f t="shared" si="27"/>
        <v>2919.9895321129975</v>
      </c>
      <c r="D53">
        <f t="shared" si="27"/>
        <v>973.32984403766579</v>
      </c>
      <c r="E53">
        <f t="shared" si="27"/>
        <v>324.44328134588858</v>
      </c>
      <c r="F53">
        <f t="shared" si="27"/>
        <v>108.14776044862953</v>
      </c>
      <c r="G53">
        <f t="shared" si="27"/>
        <v>36.049253482876509</v>
      </c>
      <c r="H53">
        <f t="shared" si="27"/>
        <v>12.016417827625503</v>
      </c>
      <c r="I53">
        <f t="shared" si="27"/>
        <v>4.0054726092085007</v>
      </c>
      <c r="J53">
        <f t="shared" si="27"/>
        <v>1.3351575364028336</v>
      </c>
      <c r="K53">
        <f t="shared" si="27"/>
        <v>0.44505251213427788</v>
      </c>
      <c r="L53">
        <f t="shared" si="27"/>
        <v>0.14835083737809263</v>
      </c>
      <c r="M53" s="2">
        <v>21.2</v>
      </c>
      <c r="N53" s="2"/>
    </row>
    <row r="54" spans="1:14" x14ac:dyDescent="0.35">
      <c r="A54">
        <f t="shared" si="25"/>
        <v>26279.905789016979</v>
      </c>
      <c r="B54">
        <f t="shared" si="27"/>
        <v>8759.9685963389929</v>
      </c>
      <c r="C54">
        <f t="shared" si="27"/>
        <v>2919.9895321129975</v>
      </c>
      <c r="D54">
        <f t="shared" si="27"/>
        <v>973.32984403766579</v>
      </c>
      <c r="E54">
        <f t="shared" si="27"/>
        <v>324.44328134588858</v>
      </c>
      <c r="F54">
        <f t="shared" si="27"/>
        <v>108.14776044862953</v>
      </c>
      <c r="G54">
        <f t="shared" si="27"/>
        <v>36.049253482876509</v>
      </c>
      <c r="H54">
        <f t="shared" si="27"/>
        <v>12.016417827625503</v>
      </c>
      <c r="I54">
        <f t="shared" si="27"/>
        <v>4.0054726092085007</v>
      </c>
      <c r="J54">
        <f t="shared" si="27"/>
        <v>1.3351575364028336</v>
      </c>
      <c r="K54">
        <f t="shared" si="27"/>
        <v>0.44505251213427788</v>
      </c>
      <c r="L54">
        <f t="shared" si="27"/>
        <v>0.14835083737809263</v>
      </c>
      <c r="M54" s="2">
        <f>M53</f>
        <v>21.2</v>
      </c>
      <c r="N54" s="2"/>
    </row>
    <row r="55" spans="1:14" x14ac:dyDescent="0.35">
      <c r="A55">
        <f t="shared" si="25"/>
        <v>26279.905789016979</v>
      </c>
      <c r="B55">
        <f t="shared" si="27"/>
        <v>8759.9685963389929</v>
      </c>
      <c r="C55">
        <f t="shared" si="27"/>
        <v>2919.9895321129975</v>
      </c>
      <c r="D55">
        <f t="shared" si="27"/>
        <v>973.32984403766579</v>
      </c>
      <c r="E55">
        <f t="shared" si="27"/>
        <v>324.44328134588858</v>
      </c>
      <c r="F55">
        <f t="shared" si="27"/>
        <v>108.14776044862953</v>
      </c>
      <c r="G55">
        <f t="shared" si="27"/>
        <v>36.049253482876509</v>
      </c>
      <c r="H55">
        <f t="shared" si="27"/>
        <v>12.016417827625503</v>
      </c>
      <c r="I55">
        <f t="shared" si="27"/>
        <v>4.0054726092085007</v>
      </c>
      <c r="J55">
        <f t="shared" si="27"/>
        <v>1.3351575364028336</v>
      </c>
      <c r="K55">
        <f t="shared" si="27"/>
        <v>0.44505251213427788</v>
      </c>
      <c r="L55">
        <f t="shared" si="27"/>
        <v>0.14835083737809263</v>
      </c>
      <c r="M55" s="2">
        <f>M53</f>
        <v>21.2</v>
      </c>
      <c r="N55" s="2"/>
    </row>
    <row r="56" spans="1:14" x14ac:dyDescent="0.35">
      <c r="A56">
        <f t="shared" si="25"/>
        <v>28263.294905169209</v>
      </c>
      <c r="B56">
        <f t="shared" si="27"/>
        <v>9421.0983017230701</v>
      </c>
      <c r="C56">
        <f t="shared" si="27"/>
        <v>3140.3661005743566</v>
      </c>
      <c r="D56">
        <f t="shared" si="27"/>
        <v>1046.7887001914521</v>
      </c>
      <c r="E56">
        <f t="shared" si="27"/>
        <v>348.92956673048405</v>
      </c>
      <c r="F56">
        <f t="shared" si="27"/>
        <v>116.30985557682801</v>
      </c>
      <c r="G56">
        <f t="shared" si="27"/>
        <v>38.769951858942669</v>
      </c>
      <c r="H56">
        <f t="shared" si="27"/>
        <v>12.923317286314223</v>
      </c>
      <c r="I56">
        <f t="shared" si="27"/>
        <v>4.3077724287714076</v>
      </c>
      <c r="J56">
        <f t="shared" si="27"/>
        <v>1.4359241429238025</v>
      </c>
      <c r="K56">
        <f t="shared" si="27"/>
        <v>0.47864138097460085</v>
      </c>
      <c r="L56">
        <f t="shared" si="27"/>
        <v>0.15954712699153362</v>
      </c>
      <c r="M56" s="2">
        <v>22.8</v>
      </c>
      <c r="N56" s="2"/>
    </row>
    <row r="57" spans="1:14" x14ac:dyDescent="0.35">
      <c r="A57">
        <f t="shared" si="25"/>
        <v>28263.294905169209</v>
      </c>
      <c r="B57">
        <f t="shared" si="27"/>
        <v>9421.0983017230701</v>
      </c>
      <c r="C57">
        <f t="shared" si="27"/>
        <v>3140.3661005743566</v>
      </c>
      <c r="D57">
        <f t="shared" si="27"/>
        <v>1046.7887001914521</v>
      </c>
      <c r="E57">
        <f t="shared" si="27"/>
        <v>348.92956673048405</v>
      </c>
      <c r="F57">
        <f t="shared" si="27"/>
        <v>116.30985557682801</v>
      </c>
      <c r="G57">
        <f t="shared" si="27"/>
        <v>38.769951858942669</v>
      </c>
      <c r="H57">
        <f t="shared" si="27"/>
        <v>12.923317286314223</v>
      </c>
      <c r="I57">
        <f t="shared" si="27"/>
        <v>4.3077724287714076</v>
      </c>
      <c r="J57">
        <f t="shared" si="27"/>
        <v>1.4359241429238025</v>
      </c>
      <c r="K57">
        <f t="shared" si="27"/>
        <v>0.47864138097460085</v>
      </c>
      <c r="L57">
        <f t="shared" si="27"/>
        <v>0.15954712699153362</v>
      </c>
      <c r="M57" s="2">
        <f>M56</f>
        <v>22.8</v>
      </c>
      <c r="N57" s="2"/>
    </row>
    <row r="58" spans="1:14" x14ac:dyDescent="0.35">
      <c r="A58">
        <f t="shared" si="25"/>
        <v>28263.294905169209</v>
      </c>
      <c r="B58">
        <f t="shared" si="27"/>
        <v>9421.0983017230701</v>
      </c>
      <c r="C58">
        <f t="shared" si="27"/>
        <v>3140.3661005743566</v>
      </c>
      <c r="D58">
        <f t="shared" si="27"/>
        <v>1046.7887001914521</v>
      </c>
      <c r="E58">
        <f t="shared" si="27"/>
        <v>348.92956673048405</v>
      </c>
      <c r="F58">
        <f t="shared" si="27"/>
        <v>116.30985557682801</v>
      </c>
      <c r="G58">
        <f t="shared" si="27"/>
        <v>38.769951858942669</v>
      </c>
      <c r="H58">
        <f t="shared" si="27"/>
        <v>12.923317286314223</v>
      </c>
      <c r="I58">
        <f t="shared" si="27"/>
        <v>4.3077724287714076</v>
      </c>
      <c r="J58">
        <f t="shared" si="27"/>
        <v>1.4359241429238025</v>
      </c>
      <c r="K58">
        <f t="shared" si="27"/>
        <v>0.47864138097460085</v>
      </c>
      <c r="L58">
        <f t="shared" si="27"/>
        <v>0.15954712699153362</v>
      </c>
      <c r="M58" s="2">
        <f>M56</f>
        <v>22.8</v>
      </c>
      <c r="N58" s="2"/>
    </row>
    <row r="59" spans="1:14" x14ac:dyDescent="0.35">
      <c r="A59">
        <f t="shared" si="25"/>
        <v>18718.234783686625</v>
      </c>
      <c r="B59">
        <f t="shared" si="27"/>
        <v>6239.4115945622079</v>
      </c>
      <c r="C59">
        <f t="shared" si="27"/>
        <v>2079.8038648540692</v>
      </c>
      <c r="D59">
        <f t="shared" si="27"/>
        <v>693.26795495135639</v>
      </c>
      <c r="E59">
        <f t="shared" si="27"/>
        <v>231.0893183171188</v>
      </c>
      <c r="F59">
        <f t="shared" si="27"/>
        <v>77.029772772372937</v>
      </c>
      <c r="G59">
        <f t="shared" si="27"/>
        <v>25.676590924124312</v>
      </c>
      <c r="H59">
        <f t="shared" si="27"/>
        <v>8.5588636413747707</v>
      </c>
      <c r="I59">
        <f t="shared" si="27"/>
        <v>2.8529545471249236</v>
      </c>
      <c r="J59">
        <f t="shared" si="27"/>
        <v>0.95098484904164116</v>
      </c>
      <c r="K59">
        <f t="shared" si="27"/>
        <v>0.31699494968054703</v>
      </c>
      <c r="L59">
        <f t="shared" si="27"/>
        <v>0.10566498322684902</v>
      </c>
      <c r="M59" s="2">
        <v>15.1</v>
      </c>
      <c r="N59" s="2"/>
    </row>
    <row r="60" spans="1:14" x14ac:dyDescent="0.35">
      <c r="A60">
        <f t="shared" si="25"/>
        <v>18718.234783686625</v>
      </c>
      <c r="B60">
        <f t="shared" si="27"/>
        <v>6239.4115945622079</v>
      </c>
      <c r="C60">
        <f t="shared" si="27"/>
        <v>2079.8038648540692</v>
      </c>
      <c r="D60">
        <f t="shared" si="27"/>
        <v>693.26795495135639</v>
      </c>
      <c r="E60">
        <f t="shared" si="27"/>
        <v>231.0893183171188</v>
      </c>
      <c r="F60">
        <f t="shared" si="27"/>
        <v>77.029772772372937</v>
      </c>
      <c r="G60">
        <f t="shared" si="27"/>
        <v>25.676590924124312</v>
      </c>
      <c r="H60">
        <f t="shared" si="27"/>
        <v>8.5588636413747707</v>
      </c>
      <c r="I60">
        <f t="shared" si="27"/>
        <v>2.8529545471249236</v>
      </c>
      <c r="J60">
        <f t="shared" si="27"/>
        <v>0.95098484904164116</v>
      </c>
      <c r="K60">
        <f t="shared" si="27"/>
        <v>0.31699494968054703</v>
      </c>
      <c r="L60">
        <f t="shared" si="27"/>
        <v>0.10566498322684902</v>
      </c>
      <c r="M60" s="2">
        <f>M59</f>
        <v>15.1</v>
      </c>
      <c r="N60" s="2"/>
    </row>
    <row r="61" spans="1:14" x14ac:dyDescent="0.35">
      <c r="A61">
        <f t="shared" si="25"/>
        <v>18718.234783686625</v>
      </c>
      <c r="B61">
        <f t="shared" si="27"/>
        <v>6239.4115945622079</v>
      </c>
      <c r="C61">
        <f t="shared" si="27"/>
        <v>2079.8038648540692</v>
      </c>
      <c r="D61">
        <f t="shared" si="27"/>
        <v>693.26795495135639</v>
      </c>
      <c r="E61">
        <f t="shared" si="27"/>
        <v>231.0893183171188</v>
      </c>
      <c r="F61">
        <f t="shared" si="27"/>
        <v>77.029772772372937</v>
      </c>
      <c r="G61">
        <f t="shared" si="27"/>
        <v>25.676590924124312</v>
      </c>
      <c r="H61">
        <f t="shared" si="27"/>
        <v>8.5588636413747707</v>
      </c>
      <c r="I61">
        <f t="shared" si="27"/>
        <v>2.8529545471249236</v>
      </c>
      <c r="J61">
        <f t="shared" si="27"/>
        <v>0.95098484904164116</v>
      </c>
      <c r="K61">
        <f t="shared" si="27"/>
        <v>0.31699494968054703</v>
      </c>
      <c r="L61">
        <f t="shared" si="27"/>
        <v>0.10566498322684902</v>
      </c>
      <c r="M61" s="2">
        <f>M59</f>
        <v>15.1</v>
      </c>
      <c r="N61" s="2"/>
    </row>
    <row r="62" spans="1:14" x14ac:dyDescent="0.35">
      <c r="A62">
        <f t="shared" si="25"/>
        <v>18470.311144167594</v>
      </c>
      <c r="B62">
        <f t="shared" si="27"/>
        <v>6156.7703813891976</v>
      </c>
      <c r="C62">
        <f t="shared" si="27"/>
        <v>2052.2567937963991</v>
      </c>
      <c r="D62">
        <f t="shared" si="27"/>
        <v>684.08559793213306</v>
      </c>
      <c r="E62">
        <f t="shared" si="27"/>
        <v>228.02853264404436</v>
      </c>
      <c r="F62">
        <f t="shared" si="27"/>
        <v>76.00951088134812</v>
      </c>
      <c r="G62">
        <f t="shared" si="27"/>
        <v>25.336503627116041</v>
      </c>
      <c r="H62">
        <f t="shared" si="27"/>
        <v>8.4455012090386798</v>
      </c>
      <c r="I62">
        <f t="shared" si="27"/>
        <v>2.8151670696795601</v>
      </c>
      <c r="J62">
        <f t="shared" si="27"/>
        <v>0.93838902322652007</v>
      </c>
      <c r="K62">
        <f t="shared" si="27"/>
        <v>0.31279634107550669</v>
      </c>
      <c r="L62">
        <f t="shared" si="27"/>
        <v>0.10426544702516889</v>
      </c>
      <c r="M62" s="2">
        <v>14.9</v>
      </c>
      <c r="N62" s="2"/>
    </row>
    <row r="63" spans="1:14" x14ac:dyDescent="0.35">
      <c r="A63">
        <f t="shared" si="25"/>
        <v>18470.311144167594</v>
      </c>
      <c r="B63">
        <f t="shared" si="27"/>
        <v>6156.7703813891976</v>
      </c>
      <c r="C63">
        <f t="shared" si="27"/>
        <v>2052.2567937963991</v>
      </c>
      <c r="D63">
        <f t="shared" si="27"/>
        <v>684.08559793213306</v>
      </c>
      <c r="E63">
        <f t="shared" si="27"/>
        <v>228.02853264404436</v>
      </c>
      <c r="F63">
        <f t="shared" si="27"/>
        <v>76.00951088134812</v>
      </c>
      <c r="G63">
        <f t="shared" si="27"/>
        <v>25.336503627116041</v>
      </c>
      <c r="H63">
        <f t="shared" si="27"/>
        <v>8.4455012090386798</v>
      </c>
      <c r="I63">
        <f t="shared" si="27"/>
        <v>2.8151670696795601</v>
      </c>
      <c r="J63">
        <f t="shared" si="27"/>
        <v>0.93838902322652007</v>
      </c>
      <c r="K63">
        <f t="shared" si="27"/>
        <v>0.31279634107550669</v>
      </c>
      <c r="L63">
        <f t="shared" si="27"/>
        <v>0.10426544702516889</v>
      </c>
      <c r="M63" s="2">
        <f>M62</f>
        <v>14.9</v>
      </c>
      <c r="N63" s="2"/>
    </row>
    <row r="64" spans="1:14" x14ac:dyDescent="0.35">
      <c r="A64">
        <f t="shared" si="25"/>
        <v>18470.311144167594</v>
      </c>
      <c r="B64">
        <f t="shared" si="27"/>
        <v>6156.7703813891976</v>
      </c>
      <c r="C64">
        <f t="shared" si="27"/>
        <v>2052.2567937963991</v>
      </c>
      <c r="D64">
        <f t="shared" si="27"/>
        <v>684.08559793213306</v>
      </c>
      <c r="E64">
        <f t="shared" si="27"/>
        <v>228.02853264404436</v>
      </c>
      <c r="F64">
        <f t="shared" si="27"/>
        <v>76.00951088134812</v>
      </c>
      <c r="G64">
        <f t="shared" si="27"/>
        <v>25.336503627116041</v>
      </c>
      <c r="H64">
        <f t="shared" si="27"/>
        <v>8.4455012090386798</v>
      </c>
      <c r="I64">
        <f t="shared" si="27"/>
        <v>2.8151670696795601</v>
      </c>
      <c r="J64">
        <f t="shared" si="27"/>
        <v>0.93838902322652007</v>
      </c>
      <c r="K64">
        <f t="shared" si="27"/>
        <v>0.31279634107550669</v>
      </c>
      <c r="L64">
        <f t="shared" si="27"/>
        <v>0.10426544702516889</v>
      </c>
      <c r="M64" s="2">
        <f>M62</f>
        <v>14.9</v>
      </c>
    </row>
  </sheetData>
  <conditionalFormatting sqref="A1:J15">
    <cfRule type="colorScale" priority="108">
      <colorScale>
        <cfvo type="min"/>
        <cfvo type="max"/>
        <color theme="3" tint="0.89999084444715716"/>
        <color theme="3" tint="0.249977111117893"/>
      </colorScale>
    </cfRule>
  </conditionalFormatting>
  <conditionalFormatting sqref="A1:L15">
    <cfRule type="colorScale" priority="5">
      <colorScale>
        <cfvo type="min"/>
        <cfvo type="max"/>
        <color theme="3" tint="0.89999084444715716"/>
        <color theme="3" tint="0.249977111117893"/>
      </colorScale>
    </cfRule>
  </conditionalFormatting>
  <conditionalFormatting sqref="A33:L34 A36:L37 A39:L40 A42:L43 A45:L48">
    <cfRule type="colorScale" priority="110">
      <colorScale>
        <cfvo type="min"/>
        <cfvo type="max"/>
        <color theme="3" tint="0.89999084444715716"/>
        <color theme="3" tint="0.249977111117893"/>
      </colorScale>
    </cfRule>
    <cfRule type="colorScale" priority="111">
      <colorScale>
        <cfvo type="min"/>
        <cfvo type="max"/>
        <color theme="3" tint="0.89999084444715716"/>
        <color theme="3" tint="9.9978637043366805E-2"/>
      </colorScale>
    </cfRule>
  </conditionalFormatting>
  <conditionalFormatting sqref="A33:L46">
    <cfRule type="colorScale" priority="69">
      <colorScale>
        <cfvo type="min"/>
        <cfvo type="max"/>
        <color theme="4" tint="0.79998168889431442"/>
        <color theme="3" tint="0.249977111117893"/>
      </colorScale>
    </cfRule>
  </conditionalFormatting>
  <conditionalFormatting sqref="A34:L34">
    <cfRule type="colorScale" priority="83">
      <colorScale>
        <cfvo type="min"/>
        <cfvo type="max"/>
        <color theme="3" tint="0.89999084444715716"/>
        <color theme="3" tint="9.9978637043366805E-2"/>
      </colorScale>
    </cfRule>
    <cfRule type="colorScale" priority="82">
      <colorScale>
        <cfvo type="min"/>
        <cfvo type="max"/>
        <color theme="3" tint="0.89999084444715716"/>
        <color theme="3" tint="0.249977111117893"/>
      </colorScale>
    </cfRule>
  </conditionalFormatting>
  <conditionalFormatting sqref="A35:L35">
    <cfRule type="colorScale" priority="96">
      <colorScale>
        <cfvo type="min"/>
        <cfvo type="max"/>
        <color theme="3" tint="0.89999084444715716"/>
        <color theme="3" tint="0.249977111117893"/>
      </colorScale>
    </cfRule>
    <cfRule type="colorScale" priority="95">
      <colorScale>
        <cfvo type="min"/>
        <cfvo type="max"/>
        <color theme="3" tint="0.89999084444715716"/>
        <color theme="3" tint="0.249977111117893"/>
      </colorScale>
    </cfRule>
  </conditionalFormatting>
  <conditionalFormatting sqref="A36:L36">
    <cfRule type="colorScale" priority="103">
      <colorScale>
        <cfvo type="min"/>
        <cfvo type="max"/>
        <color theme="3" tint="0.89999084444715716"/>
        <color theme="3" tint="0.249977111117893"/>
      </colorScale>
    </cfRule>
    <cfRule type="colorScale" priority="87">
      <colorScale>
        <cfvo type="min"/>
        <cfvo type="max"/>
        <color theme="3" tint="0.89999084444715716"/>
        <color theme="3" tint="0.249977111117893"/>
      </colorScale>
    </cfRule>
  </conditionalFormatting>
  <conditionalFormatting sqref="A37:L37">
    <cfRule type="colorScale" priority="81">
      <colorScale>
        <cfvo type="min"/>
        <cfvo type="max"/>
        <color theme="3" tint="0.89999084444715716"/>
        <color theme="3" tint="0.249977111117893"/>
      </colorScale>
    </cfRule>
    <cfRule type="colorScale" priority="64">
      <colorScale>
        <cfvo type="min"/>
        <cfvo type="max"/>
        <color theme="3" tint="0.89999084444715716"/>
        <color theme="3" tint="0.249977111117893"/>
      </colorScale>
    </cfRule>
    <cfRule type="colorScale" priority="16">
      <colorScale>
        <cfvo type="min"/>
        <cfvo type="max"/>
        <color theme="3" tint="0.89999084444715716"/>
        <color theme="3" tint="0.249977111117893"/>
      </colorScale>
    </cfRule>
    <cfRule type="colorScale" priority="17">
      <colorScale>
        <cfvo type="min"/>
        <cfvo type="max"/>
        <color theme="3" tint="0.89999084444715716"/>
        <color theme="3" tint="9.9978637043366805E-2"/>
      </colorScale>
    </cfRule>
    <cfRule type="colorScale" priority="18">
      <colorScale>
        <cfvo type="min"/>
        <cfvo type="max"/>
        <color theme="3" tint="0.89999084444715716"/>
        <color theme="3" tint="0.249977111117893"/>
      </colorScale>
    </cfRule>
    <cfRule type="colorScale" priority="80">
      <colorScale>
        <cfvo type="min"/>
        <cfvo type="max"/>
        <color theme="3" tint="0.89999084444715716"/>
        <color theme="3" tint="9.9978637043366805E-2"/>
      </colorScale>
    </cfRule>
    <cfRule type="colorScale" priority="79">
      <colorScale>
        <cfvo type="min"/>
        <cfvo type="max"/>
        <color theme="3" tint="0.89999084444715716"/>
        <color theme="3" tint="0.249977111117893"/>
      </colorScale>
    </cfRule>
    <cfRule type="colorScale" priority="99">
      <colorScale>
        <cfvo type="min"/>
        <cfvo type="max"/>
        <color theme="3" tint="0.89999084444715716"/>
        <color theme="3" tint="0.249977111117893"/>
      </colorScale>
    </cfRule>
    <cfRule type="colorScale" priority="66">
      <colorScale>
        <cfvo type="min"/>
        <cfvo type="max"/>
        <color theme="3" tint="0.89999084444715716"/>
        <color theme="3" tint="0.249977111117893"/>
      </colorScale>
    </cfRule>
    <cfRule type="colorScale" priority="28">
      <colorScale>
        <cfvo type="min"/>
        <cfvo type="max"/>
        <color theme="3" tint="0.89999084444715716"/>
        <color theme="3" tint="0.249977111117893"/>
      </colorScale>
    </cfRule>
    <cfRule type="colorScale" priority="29">
      <colorScale>
        <cfvo type="min"/>
        <cfvo type="max"/>
        <color theme="3" tint="0.89999084444715716"/>
        <color theme="3" tint="9.9978637043366805E-2"/>
      </colorScale>
    </cfRule>
    <cfRule type="colorScale" priority="30">
      <colorScale>
        <cfvo type="min"/>
        <cfvo type="max"/>
        <color theme="3" tint="0.89999084444715716"/>
        <color theme="3" tint="0.249977111117893"/>
      </colorScale>
    </cfRule>
    <cfRule type="colorScale" priority="65">
      <colorScale>
        <cfvo type="min"/>
        <cfvo type="max"/>
        <color theme="3" tint="0.89999084444715716"/>
        <color theme="3" tint="9.9978637043366805E-2"/>
      </colorScale>
    </cfRule>
  </conditionalFormatting>
  <conditionalFormatting sqref="A38:L38">
    <cfRule type="colorScale" priority="93">
      <colorScale>
        <cfvo type="min"/>
        <cfvo type="max"/>
        <color theme="3" tint="0.89999084444715716"/>
        <color theme="3" tint="0.249977111117893"/>
      </colorScale>
    </cfRule>
    <cfRule type="colorScale" priority="94">
      <colorScale>
        <cfvo type="min"/>
        <cfvo type="max"/>
        <color theme="3" tint="0.89999084444715716"/>
        <color theme="3" tint="0.249977111117893"/>
      </colorScale>
    </cfRule>
  </conditionalFormatting>
  <conditionalFormatting sqref="A39:L39">
    <cfRule type="colorScale" priority="102">
      <colorScale>
        <cfvo type="min"/>
        <cfvo type="max"/>
        <color theme="3" tint="0.89999084444715716"/>
        <color theme="3" tint="0.249977111117893"/>
      </colorScale>
    </cfRule>
    <cfRule type="colorScale" priority="86">
      <colorScale>
        <cfvo type="min"/>
        <cfvo type="max"/>
        <color theme="3" tint="0.89999084444715716"/>
        <color theme="3" tint="0.249977111117893"/>
      </colorScale>
    </cfRule>
  </conditionalFormatting>
  <conditionalFormatting sqref="A40:L40">
    <cfRule type="colorScale" priority="14">
      <colorScale>
        <cfvo type="min"/>
        <cfvo type="max"/>
        <color theme="3" tint="0.89999084444715716"/>
        <color theme="3" tint="9.9978637043366805E-2"/>
      </colorScale>
    </cfRule>
    <cfRule type="colorScale" priority="15">
      <colorScale>
        <cfvo type="min"/>
        <cfvo type="max"/>
        <color theme="3" tint="0.89999084444715716"/>
        <color theme="3" tint="0.249977111117893"/>
      </colorScale>
    </cfRule>
    <cfRule type="colorScale" priority="25">
      <colorScale>
        <cfvo type="min"/>
        <cfvo type="max"/>
        <color theme="3" tint="0.89999084444715716"/>
        <color theme="3" tint="0.249977111117893"/>
      </colorScale>
    </cfRule>
    <cfRule type="colorScale" priority="26">
      <colorScale>
        <cfvo type="min"/>
        <cfvo type="max"/>
        <color theme="3" tint="0.89999084444715716"/>
        <color theme="3" tint="9.9978637043366805E-2"/>
      </colorScale>
    </cfRule>
    <cfRule type="colorScale" priority="27">
      <colorScale>
        <cfvo type="min"/>
        <cfvo type="max"/>
        <color theme="3" tint="0.89999084444715716"/>
        <color theme="3" tint="0.249977111117893"/>
      </colorScale>
    </cfRule>
    <cfRule type="colorScale" priority="77">
      <colorScale>
        <cfvo type="min"/>
        <cfvo type="max"/>
        <color theme="3" tint="0.89999084444715716"/>
        <color theme="3" tint="9.9978637043366805E-2"/>
      </colorScale>
    </cfRule>
    <cfRule type="colorScale" priority="76">
      <colorScale>
        <cfvo type="min"/>
        <cfvo type="max"/>
        <color theme="3" tint="0.89999084444715716"/>
        <color theme="3" tint="0.249977111117893"/>
      </colorScale>
    </cfRule>
    <cfRule type="colorScale" priority="78">
      <colorScale>
        <cfvo type="min"/>
        <cfvo type="max"/>
        <color theme="3" tint="0.89999084444715716"/>
        <color theme="3" tint="0.249977111117893"/>
      </colorScale>
    </cfRule>
    <cfRule type="colorScale" priority="62">
      <colorScale>
        <cfvo type="min"/>
        <cfvo type="max"/>
        <color theme="3" tint="0.89999084444715716"/>
        <color theme="3" tint="0.249977111117893"/>
      </colorScale>
    </cfRule>
    <cfRule type="colorScale" priority="61">
      <colorScale>
        <cfvo type="min"/>
        <cfvo type="max"/>
        <color theme="3" tint="0.89999084444715716"/>
        <color theme="3" tint="9.9978637043366805E-2"/>
      </colorScale>
    </cfRule>
    <cfRule type="colorScale" priority="60">
      <colorScale>
        <cfvo type="min"/>
        <cfvo type="max"/>
        <color theme="3" tint="0.89999084444715716"/>
        <color theme="3" tint="0.249977111117893"/>
      </colorScale>
    </cfRule>
    <cfRule type="colorScale" priority="59">
      <colorScale>
        <cfvo type="min"/>
        <cfvo type="max"/>
        <color theme="3" tint="0.89999084444715716"/>
        <color theme="3" tint="0.249977111117893"/>
      </colorScale>
    </cfRule>
    <cfRule type="colorScale" priority="58">
      <colorScale>
        <cfvo type="min"/>
        <cfvo type="max"/>
        <color theme="3" tint="0.89999084444715716"/>
        <color theme="3" tint="9.9978637043366805E-2"/>
      </colorScale>
    </cfRule>
    <cfRule type="colorScale" priority="57">
      <colorScale>
        <cfvo type="min"/>
        <cfvo type="max"/>
        <color theme="3" tint="0.89999084444715716"/>
        <color theme="3" tint="0.249977111117893"/>
      </colorScale>
    </cfRule>
    <cfRule type="colorScale" priority="63">
      <colorScale>
        <cfvo type="min"/>
        <cfvo type="max"/>
        <color theme="3" tint="0.89999084444715716"/>
        <color theme="3" tint="0.249977111117893"/>
      </colorScale>
    </cfRule>
    <cfRule type="colorScale" priority="98">
      <colorScale>
        <cfvo type="min"/>
        <cfvo type="max"/>
        <color theme="3" tint="0.89999084444715716"/>
        <color theme="3" tint="0.249977111117893"/>
      </colorScale>
    </cfRule>
    <cfRule type="colorScale" priority="13">
      <colorScale>
        <cfvo type="min"/>
        <cfvo type="max"/>
        <color theme="3" tint="0.89999084444715716"/>
        <color theme="3" tint="0.249977111117893"/>
      </colorScale>
    </cfRule>
  </conditionalFormatting>
  <conditionalFormatting sqref="A41:L41">
    <cfRule type="colorScale" priority="91">
      <colorScale>
        <cfvo type="min"/>
        <cfvo type="max"/>
        <color theme="3" tint="0.89999084444715716"/>
        <color theme="3" tint="0.249977111117893"/>
      </colorScale>
    </cfRule>
    <cfRule type="colorScale" priority="92">
      <colorScale>
        <cfvo type="min"/>
        <cfvo type="max"/>
        <color theme="3" tint="0.89999084444715716"/>
        <color theme="3" tint="0.249977111117893"/>
      </colorScale>
    </cfRule>
  </conditionalFormatting>
  <conditionalFormatting sqref="A42:L42">
    <cfRule type="colorScale" priority="101">
      <colorScale>
        <cfvo type="min"/>
        <cfvo type="max"/>
        <color theme="3" tint="0.89999084444715716"/>
        <color theme="3" tint="0.249977111117893"/>
      </colorScale>
    </cfRule>
    <cfRule type="colorScale" priority="85">
      <colorScale>
        <cfvo type="min"/>
        <cfvo type="max"/>
        <color theme="3" tint="0.89999084444715716"/>
        <color theme="3" tint="0.249977111117893"/>
      </colorScale>
    </cfRule>
  </conditionalFormatting>
  <conditionalFormatting sqref="A43:L43">
    <cfRule type="colorScale" priority="50">
      <colorScale>
        <cfvo type="min"/>
        <cfvo type="max"/>
        <color theme="3" tint="0.89999084444715716"/>
        <color theme="3" tint="9.9978637043366805E-2"/>
      </colorScale>
    </cfRule>
    <cfRule type="colorScale" priority="51">
      <colorScale>
        <cfvo type="min"/>
        <cfvo type="max"/>
        <color theme="3" tint="0.89999084444715716"/>
        <color theme="3" tint="0.249977111117893"/>
      </colorScale>
    </cfRule>
    <cfRule type="colorScale" priority="52">
      <colorScale>
        <cfvo type="min"/>
        <cfvo type="max"/>
        <color theme="3" tint="0.89999084444715716"/>
        <color theme="3" tint="0.249977111117893"/>
      </colorScale>
    </cfRule>
    <cfRule type="colorScale" priority="53">
      <colorScale>
        <cfvo type="min"/>
        <cfvo type="max"/>
        <color theme="3" tint="0.89999084444715716"/>
        <color theme="3" tint="0.249977111117893"/>
      </colorScale>
    </cfRule>
    <cfRule type="colorScale" priority="54">
      <colorScale>
        <cfvo type="min"/>
        <cfvo type="max"/>
        <color theme="3" tint="0.89999084444715716"/>
        <color theme="3" tint="9.9978637043366805E-2"/>
      </colorScale>
    </cfRule>
    <cfRule type="colorScale" priority="55">
      <colorScale>
        <cfvo type="min"/>
        <cfvo type="max"/>
        <color theme="3" tint="0.89999084444715716"/>
        <color theme="3" tint="0.249977111117893"/>
      </colorScale>
    </cfRule>
    <cfRule type="colorScale" priority="56">
      <colorScale>
        <cfvo type="min"/>
        <cfvo type="max"/>
        <color theme="3" tint="0.89999084444715716"/>
        <color theme="3" tint="0.249977111117893"/>
      </colorScale>
    </cfRule>
    <cfRule type="colorScale" priority="46">
      <colorScale>
        <cfvo type="min"/>
        <cfvo type="max"/>
        <color theme="3" tint="0.89999084444715716"/>
        <color theme="3" tint="0.249977111117893"/>
      </colorScale>
    </cfRule>
    <cfRule type="colorScale" priority="73">
      <colorScale>
        <cfvo type="min"/>
        <cfvo type="max"/>
        <color theme="3" tint="0.89999084444715716"/>
        <color theme="3" tint="0.249977111117893"/>
      </colorScale>
    </cfRule>
    <cfRule type="colorScale" priority="74">
      <colorScale>
        <cfvo type="min"/>
        <cfvo type="max"/>
        <color theme="3" tint="0.89999084444715716"/>
        <color theme="3" tint="9.9978637043366805E-2"/>
      </colorScale>
    </cfRule>
    <cfRule type="colorScale" priority="75">
      <colorScale>
        <cfvo type="min"/>
        <cfvo type="max"/>
        <color theme="3" tint="0.89999084444715716"/>
        <color theme="3" tint="0.249977111117893"/>
      </colorScale>
    </cfRule>
    <cfRule type="colorScale" priority="24">
      <colorScale>
        <cfvo type="min"/>
        <cfvo type="max"/>
        <color theme="3" tint="0.89999084444715716"/>
        <color theme="3" tint="0.249977111117893"/>
      </colorScale>
    </cfRule>
    <cfRule type="colorScale" priority="23">
      <colorScale>
        <cfvo type="min"/>
        <cfvo type="max"/>
        <color theme="3" tint="0.89999084444715716"/>
        <color theme="3" tint="9.9978637043366805E-2"/>
      </colorScale>
    </cfRule>
    <cfRule type="colorScale" priority="47">
      <colorScale>
        <cfvo type="min"/>
        <cfvo type="max"/>
        <color theme="3" tint="0.89999084444715716"/>
        <color theme="3" tint="9.9978637043366805E-2"/>
      </colorScale>
    </cfRule>
    <cfRule type="colorScale" priority="97">
      <colorScale>
        <cfvo type="min"/>
        <cfvo type="max"/>
        <color theme="3" tint="0.89999084444715716"/>
        <color theme="3" tint="0.249977111117893"/>
      </colorScale>
    </cfRule>
    <cfRule type="colorScale" priority="48">
      <colorScale>
        <cfvo type="min"/>
        <cfvo type="max"/>
        <color theme="3" tint="0.89999084444715716"/>
        <color theme="3" tint="0.249977111117893"/>
      </colorScale>
    </cfRule>
    <cfRule type="colorScale" priority="22">
      <colorScale>
        <cfvo type="min"/>
        <cfvo type="max"/>
        <color theme="3" tint="0.89999084444715716"/>
        <color theme="3" tint="0.249977111117893"/>
      </colorScale>
    </cfRule>
    <cfRule type="colorScale" priority="12">
      <colorScale>
        <cfvo type="min"/>
        <cfvo type="max"/>
        <color theme="3" tint="0.89999084444715716"/>
        <color theme="3" tint="0.249977111117893"/>
      </colorScale>
    </cfRule>
    <cfRule type="colorScale" priority="11">
      <colorScale>
        <cfvo type="min"/>
        <cfvo type="max"/>
        <color theme="3" tint="0.89999084444715716"/>
        <color theme="3" tint="9.9978637043366805E-2"/>
      </colorScale>
    </cfRule>
    <cfRule type="colorScale" priority="10">
      <colorScale>
        <cfvo type="min"/>
        <cfvo type="max"/>
        <color theme="3" tint="0.89999084444715716"/>
        <color theme="3" tint="0.249977111117893"/>
      </colorScale>
    </cfRule>
    <cfRule type="colorScale" priority="49">
      <colorScale>
        <cfvo type="min"/>
        <cfvo type="max"/>
        <color theme="3" tint="0.89999084444715716"/>
        <color theme="3" tint="0.249977111117893"/>
      </colorScale>
    </cfRule>
  </conditionalFormatting>
  <conditionalFormatting sqref="A44:L44">
    <cfRule type="colorScale" priority="89">
      <colorScale>
        <cfvo type="min"/>
        <cfvo type="max"/>
        <color theme="3" tint="0.89999084444715716"/>
        <color theme="3" tint="0.249977111117893"/>
      </colorScale>
    </cfRule>
    <cfRule type="colorScale" priority="90">
      <colorScale>
        <cfvo type="min"/>
        <cfvo type="max"/>
        <color theme="3" tint="0.89999084444715716"/>
        <color theme="3" tint="0.249977111117893"/>
      </colorScale>
    </cfRule>
  </conditionalFormatting>
  <conditionalFormatting sqref="A45:L45">
    <cfRule type="colorScale" priority="84">
      <colorScale>
        <cfvo type="min"/>
        <cfvo type="max"/>
        <color theme="3" tint="0.89999084444715716"/>
        <color theme="3" tint="0.249977111117893"/>
      </colorScale>
    </cfRule>
    <cfRule type="colorScale" priority="100">
      <colorScale>
        <cfvo type="min"/>
        <cfvo type="max"/>
        <color theme="3" tint="0.89999084444715716"/>
        <color theme="3" tint="0.249977111117893"/>
      </colorScale>
    </cfRule>
  </conditionalFormatting>
  <conditionalFormatting sqref="A46:L46">
    <cfRule type="colorScale" priority="20">
      <colorScale>
        <cfvo type="min"/>
        <cfvo type="max"/>
        <color theme="3" tint="0.89999084444715716"/>
        <color theme="3" tint="9.9978637043366805E-2"/>
      </colorScale>
    </cfRule>
    <cfRule type="colorScale" priority="19">
      <colorScale>
        <cfvo type="min"/>
        <cfvo type="max"/>
        <color theme="3" tint="0.89999084444715716"/>
        <color theme="3" tint="0.249977111117893"/>
      </colorScale>
    </cfRule>
    <cfRule type="colorScale" priority="9">
      <colorScale>
        <cfvo type="min"/>
        <cfvo type="max"/>
        <color theme="3" tint="0.89999084444715716"/>
        <color theme="3" tint="0.249977111117893"/>
      </colorScale>
    </cfRule>
    <cfRule type="colorScale" priority="8">
      <colorScale>
        <cfvo type="min"/>
        <cfvo type="max"/>
        <color theme="3" tint="0.89999084444715716"/>
        <color theme="3" tint="9.9978637043366805E-2"/>
      </colorScale>
    </cfRule>
    <cfRule type="colorScale" priority="7">
      <colorScale>
        <cfvo type="min"/>
        <cfvo type="max"/>
        <color theme="3" tint="0.89999084444715716"/>
        <color theme="3" tint="0.249977111117893"/>
      </colorScale>
    </cfRule>
    <cfRule type="colorScale" priority="44">
      <colorScale>
        <cfvo type="min"/>
        <cfvo type="max"/>
        <color theme="3" tint="0.89999084444715716"/>
        <color theme="3" tint="0.249977111117893"/>
      </colorScale>
    </cfRule>
    <cfRule type="colorScale" priority="33">
      <colorScale>
        <cfvo type="min"/>
        <cfvo type="max"/>
        <color theme="3" tint="0.89999084444715716"/>
        <color theme="3" tint="0.249977111117893"/>
      </colorScale>
    </cfRule>
    <cfRule type="colorScale" priority="43">
      <colorScale>
        <cfvo type="min"/>
        <cfvo type="max"/>
        <color theme="3" tint="0.89999084444715716"/>
        <color theme="3" tint="9.9978637043366805E-2"/>
      </colorScale>
    </cfRule>
    <cfRule type="colorScale" priority="42">
      <colorScale>
        <cfvo type="min"/>
        <cfvo type="max"/>
        <color theme="3" tint="0.89999084444715716"/>
        <color theme="3" tint="0.249977111117893"/>
      </colorScale>
    </cfRule>
    <cfRule type="colorScale" priority="32">
      <colorScale>
        <cfvo type="min"/>
        <cfvo type="max"/>
        <color theme="3" tint="0.89999084444715716"/>
        <color theme="3" tint="9.9978637043366805E-2"/>
      </colorScale>
    </cfRule>
    <cfRule type="colorScale" priority="41">
      <colorScale>
        <cfvo type="min"/>
        <cfvo type="max"/>
        <color theme="3" tint="0.89999084444715716"/>
        <color theme="3" tint="0.249977111117893"/>
      </colorScale>
    </cfRule>
    <cfRule type="colorScale" priority="40">
      <colorScale>
        <cfvo type="min"/>
        <cfvo type="max"/>
        <color theme="3" tint="0.89999084444715716"/>
        <color theme="3" tint="0.249977111117893"/>
      </colorScale>
    </cfRule>
    <cfRule type="colorScale" priority="39">
      <colorScale>
        <cfvo type="min"/>
        <cfvo type="max"/>
        <color theme="3" tint="0.89999084444715716"/>
        <color theme="3" tint="9.9978637043366805E-2"/>
      </colorScale>
    </cfRule>
    <cfRule type="colorScale" priority="38">
      <colorScale>
        <cfvo type="min"/>
        <cfvo type="max"/>
        <color theme="3" tint="0.89999084444715716"/>
        <color theme="3" tint="0.249977111117893"/>
      </colorScale>
    </cfRule>
    <cfRule type="colorScale" priority="37">
      <colorScale>
        <cfvo type="min"/>
        <cfvo type="max"/>
        <color theme="3" tint="0.89999084444715716"/>
        <color theme="3" tint="0.249977111117893"/>
      </colorScale>
    </cfRule>
    <cfRule type="colorScale" priority="31">
      <colorScale>
        <cfvo type="min"/>
        <cfvo type="max"/>
        <color theme="3" tint="0.89999084444715716"/>
        <color theme="3" tint="0.249977111117893"/>
      </colorScale>
    </cfRule>
    <cfRule type="colorScale" priority="21">
      <colorScale>
        <cfvo type="min"/>
        <cfvo type="max"/>
        <color theme="3" tint="0.89999084444715716"/>
        <color theme="3" tint="0.249977111117893"/>
      </colorScale>
    </cfRule>
    <cfRule type="colorScale" priority="36">
      <colorScale>
        <cfvo type="min"/>
        <cfvo type="max"/>
        <color theme="3" tint="0.89999084444715716"/>
        <color theme="3" tint="0.249977111117893"/>
      </colorScale>
    </cfRule>
    <cfRule type="colorScale" priority="70">
      <colorScale>
        <cfvo type="min"/>
        <cfvo type="max"/>
        <color theme="3" tint="0.89999084444715716"/>
        <color theme="3" tint="0.249977111117893"/>
      </colorScale>
    </cfRule>
    <cfRule type="colorScale" priority="71">
      <colorScale>
        <cfvo type="min"/>
        <cfvo type="max"/>
        <color theme="3" tint="0.89999084444715716"/>
        <color theme="3" tint="9.9978637043366805E-2"/>
      </colorScale>
    </cfRule>
    <cfRule type="colorScale" priority="72">
      <colorScale>
        <cfvo type="min"/>
        <cfvo type="max"/>
        <color theme="3" tint="0.89999084444715716"/>
        <color theme="3" tint="0.249977111117893"/>
      </colorScale>
    </cfRule>
    <cfRule type="colorScale" priority="45">
      <colorScale>
        <cfvo type="min"/>
        <cfvo type="max"/>
        <color theme="3" tint="0.89999084444715716"/>
        <color theme="3" tint="0.249977111117893"/>
      </colorScale>
    </cfRule>
    <cfRule type="colorScale" priority="35">
      <colorScale>
        <cfvo type="min"/>
        <cfvo type="max"/>
        <color theme="3" tint="0.89999084444715716"/>
        <color theme="3" tint="9.9978637043366805E-2"/>
      </colorScale>
    </cfRule>
    <cfRule type="colorScale" priority="34">
      <colorScale>
        <cfvo type="min"/>
        <cfvo type="max"/>
        <color theme="3" tint="0.89999084444715716"/>
        <color theme="3" tint="0.249977111117893"/>
      </colorScale>
    </cfRule>
  </conditionalFormatting>
  <conditionalFormatting sqref="A46:L48">
    <cfRule type="colorScale" priority="109">
      <colorScale>
        <cfvo type="min"/>
        <cfvo type="max"/>
        <color theme="3" tint="0.89999084444715716"/>
        <color theme="3" tint="0.249977111117893"/>
      </colorScale>
    </cfRule>
  </conditionalFormatting>
  <conditionalFormatting sqref="A50:L64 A32:L34">
    <cfRule type="colorScale" priority="113">
      <colorScale>
        <cfvo type="min"/>
        <cfvo type="max"/>
        <color theme="3" tint="0.89999084444715716"/>
        <color theme="3" tint="0.249977111117893"/>
      </colorScale>
    </cfRule>
  </conditionalFormatting>
  <conditionalFormatting sqref="K1:L15">
    <cfRule type="colorScale" priority="6">
      <colorScale>
        <cfvo type="min"/>
        <cfvo type="max"/>
        <color theme="3" tint="0.89999084444715716"/>
        <color theme="3" tint="0.249977111117893"/>
      </colorScale>
    </cfRule>
  </conditionalFormatting>
  <conditionalFormatting sqref="M1:M15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7:M31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3:M47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0:M64 M32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0:M64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2:Y32">
    <cfRule type="colorScale" priority="112">
      <colorScale>
        <cfvo type="min"/>
        <cfvo type="max"/>
        <color theme="3" tint="0.89999084444715716"/>
        <color theme="3" tint="0.249977111117893"/>
      </colorScale>
    </cfRule>
  </conditionalFormatting>
  <conditionalFormatting sqref="O48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7:L31">
    <cfRule type="colorScale" priority="1">
      <colorScale>
        <cfvo type="min"/>
        <cfvo type="max"/>
        <color theme="3" tint="0.89999084444715716"/>
        <color theme="3" tint="0.24997711111789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variant-1</vt:lpstr>
      <vt:lpstr>variant-2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Rohit</dc:creator>
  <cp:lastModifiedBy>Supriya1</cp:lastModifiedBy>
  <dcterms:created xsi:type="dcterms:W3CDTF">2025-10-14T19:37:52Z</dcterms:created>
  <dcterms:modified xsi:type="dcterms:W3CDTF">2026-05-14T20:26:10Z</dcterms:modified>
</cp:coreProperties>
</file>